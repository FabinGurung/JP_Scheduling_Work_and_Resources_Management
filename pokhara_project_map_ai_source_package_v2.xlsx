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4b10174cd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511e4dea2f64f29"/>
    <x:sheet xmlns:r="http://schemas.openxmlformats.org/officeDocument/2006/relationships" name="Projects_Master" sheetId="2" r:id="Rb3651a6c35894ac6"/>
    <x:sheet xmlns:r="http://schemas.openxmlformats.org/officeDocument/2006/relationships" name="Status_Config" sheetId="3" r:id="R5a29f26de4f144dd"/>
    <x:sheet xmlns:r="http://schemas.openxmlformats.org/officeDocument/2006/relationships" name="Field_Dictionary" sheetId="4" r:id="R90adaf26c58a4cd0"/>
    <x:sheet xmlns:r="http://schemas.openxmlformats.org/officeDocument/2006/relationships" name="Map_Config" sheetId="5" r:id="R5dfe771785c5422e"/>
    <x:sheet xmlns:r="http://schemas.openxmlformats.org/officeDocument/2006/relationships" name="Popup_Fields" sheetId="6" r:id="R73a0e781e5594f23"/>
    <x:sheet xmlns:r="http://schemas.openxmlformats.org/officeDocument/2006/relationships" name="Output_Spec" sheetId="7" r:id="R63c6d2256c284822"/>
    <x:sheet xmlns:r="http://schemas.openxmlformats.org/officeDocument/2006/relationships" name="QA_Checks" sheetId="8" r:id="R3e6eeefa0e0b447b"/>
    <x:sheet xmlns:r="http://schemas.openxmlformats.org/officeDocument/2006/relationships" name="AI_Build_Steps" sheetId="9" r:id="R79c505bf4f2a40cb"/>
    <x:sheet xmlns:r="http://schemas.openxmlformats.org/officeDocument/2006/relationships" name="Ready_AI_Prompt" sheetId="10" r:id="Re7aacd0848a54869"/>
    <x:sheet xmlns:r="http://schemas.openxmlformats.org/officeDocument/2006/relationships" name="Dashboard" sheetId="11" r:id="R10905ad16301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  <x:font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8F9FA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341e6be2948a8" /><Relationship Type="http://schemas.openxmlformats.org/officeDocument/2006/relationships/theme" Target="/xl/theme/theme1.xml" Id="R5c54e20d06d74d5b" /><Relationship Type="http://schemas.microsoft.com/office/2022/11/relationships/FeaturePropertyBag" Target="/xl/featurePropertyBag/featurePropertyBag.xml" Id="Refdad55ba43b434e" /><Relationship Type="http://schemas.openxmlformats.org/officeDocument/2006/relationships/sharedStrings" Target="/xl/sharedStrings.xml" Id="Re10f1c84945b4bd0" /><Relationship Type="http://schemas.openxmlformats.org/officeDocument/2006/relationships/worksheet" Target="/xl/worksheets/sheet1.xml" Id="R6511e4dea2f64f29" /><Relationship Type="http://schemas.openxmlformats.org/officeDocument/2006/relationships/worksheet" Target="/xl/worksheets/sheet2.xml" Id="Rb3651a6c35894ac6" /><Relationship Type="http://schemas.openxmlformats.org/officeDocument/2006/relationships/worksheet" Target="/xl/worksheets/sheet3.xml" Id="R5a29f26de4f144dd" /><Relationship Type="http://schemas.openxmlformats.org/officeDocument/2006/relationships/worksheet" Target="/xl/worksheets/sheet4.xml" Id="R90adaf26c58a4cd0" /><Relationship Type="http://schemas.openxmlformats.org/officeDocument/2006/relationships/worksheet" Target="/xl/worksheets/sheet5.xml" Id="R5dfe771785c5422e" /><Relationship Type="http://schemas.openxmlformats.org/officeDocument/2006/relationships/worksheet" Target="/xl/worksheets/sheet6.xml" Id="R73a0e781e5594f23" /><Relationship Type="http://schemas.openxmlformats.org/officeDocument/2006/relationships/worksheet" Target="/xl/worksheets/sheet7.xml" Id="R63c6d2256c284822" /><Relationship Type="http://schemas.openxmlformats.org/officeDocument/2006/relationships/worksheet" Target="/xl/worksheets/sheet8.xml" Id="R3e6eeefa0e0b447b" /><Relationship Type="http://schemas.openxmlformats.org/officeDocument/2006/relationships/worksheet" Target="/xl/worksheets/sheet9.xml" Id="R79c505bf4f2a40cb" /><Relationship Type="http://schemas.openxmlformats.org/officeDocument/2006/relationships/worksheet" Target="/xl/worksheets/sheet10.xml" Id="Re7aacd0848a54869" /><Relationship Type="http://schemas.openxmlformats.org/officeDocument/2006/relationships/worksheet" Target="/xl/worksheets/sheet11.xml" Id="R10905ad163014a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a98d6fe0b54b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'Dashboard'!$A$5:$A$7</c:f>
              <c:strCache>
                <c:ptCount val="0"/>
              </c:strCache>
            </c:strRef>
          </c:cat>
          <c:val>
            <c:numRef>
              <c:f>'Dashboard'!$B$5:$B$7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a98d6fe0b54bf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jectsMasterTable" displayName="ProjectsMasterTable" ref="A1:M101" headerRowCount="1">
  <x:tableColumns count="13">
    <x:tableColumn id="1" name="PK_ID"/>
    <x:tableColumn id="2" name="project_name"/>
    <x:tableColumn id="3" name="contractor"/>
    <x:tableColumn id="4" name="latitude"/>
    <x:tableColumn id="5" name="longitude"/>
    <x:tableColumn id="6" name="status"/>
    <x:tableColumn id="7" name="valid_latitude"/>
    <x:tableColumn id="8" name="valid_longitude"/>
    <x:tableColumn id="9" name="valid_status"/>
    <x:tableColumn id="10" name="coordinate_key"/>
    <x:tableColumn id="11" name="marker_color"/>
    <x:tableColumn id="12" name="tooltip_text"/>
    <x:tableColumn id="13" name="popup_html"/>
  </x:tableColumns>
  <x:tableStyleInfo name="TableStyleMedium2" showRowStripes="1"/>
</x:table>
</file>

<file path=xl/tables/table2.xml><?xml version="1.0" encoding="utf-8"?>
<x:table xmlns:x="http://schemas.openxmlformats.org/spreadsheetml/2006/main" id="2" name="StatusConfigTable" displayName="StatusConfigTable" ref="A1:H4" headerRowCount="1">
  <x:tableColumns count="8">
    <x:tableColumn id="1" name="Status_Code"/>
    <x:tableColumn id="2" name="Status_Name"/>
    <x:tableColumn id="3" name="Marker_Color_Hex"/>
    <x:tableColumn id="4" name="Line_Color_Hex"/>
    <x:tableColumn id="5" name="Marker_Radius_px"/>
    <x:tableColumn id="6" name="Fill_Opacity"/>
    <x:tableColumn id="7" name="Legend_Order"/>
    <x:tableColumn id="8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FieldDictionaryTable" displayName="FieldDictionaryTable" ref="A1:G14" headerRowCount="1">
  <x:tableColumns count="7">
    <x:tableColumn id="1" name="Field_Name"/>
    <x:tableColumn id="2" name="Business_Meaning"/>
    <x:tableColumn id="3" name="Data_Type"/>
    <x:tableColumn id="4" name="Requirement"/>
    <x:tableColumn id="5" name="Validation_or_Allowed_Values"/>
    <x:tableColumn id="6" name="Example"/>
    <x:tableColumn id="7" name="Implementation_Notes"/>
  </x:tableColumns>
  <x:tableStyleInfo name="TableStyleMedium2" showRowStripes="1"/>
</x:table>
</file>

<file path=xl/tables/table4.xml><?xml version="1.0" encoding="utf-8"?>
<x:table xmlns:x="http://schemas.openxmlformats.org/spreadsheetml/2006/main" id="4" name="MapConfigTable" displayName="MapConfigTable" ref="A1:D33" headerRowCount="1">
  <x:tableColumns count="4">
    <x:tableColumn id="1" name="Parameter"/>
    <x:tableColumn id="2" name="Value"/>
    <x:tableColumn id="3" name="Data_Type"/>
    <x:tableColumn id="4" name="Purpose"/>
  </x:tableColumns>
  <x:tableStyleInfo name="TableStyleMedium2" showRowStripes="1"/>
</x:table>
</file>

<file path=xl/tables/table5.xml><?xml version="1.0" encoding="utf-8"?>
<x:table xmlns:x="http://schemas.openxmlformats.org/spreadsheetml/2006/main" id="5" name="PopupFieldsTable" displayName="PopupFieldsTable" ref="A1:F7" headerRowCount="1">
  <x:tableColumns count="6">
    <x:tableColumn id="1" name="Display_Order"/>
    <x:tableColumn id="2" name="Source_Field"/>
    <x:tableColumn id="3" name="Display_Label"/>
    <x:tableColumn id="4" name="Visible"/>
    <x:tableColumn id="5" name="Format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OutputSpecTable" displayName="OutputSpecTable" ref="A1:D7" headerRowCount="1">
  <x:tableColumns count="4">
    <x:tableColumn id="1" name="Output"/>
    <x:tableColumn id="2" name="File_Extension"/>
    <x:tableColumn id="3" name="Priority"/>
    <x:tableColumn id="4" name="Specification"/>
  </x:tableColumns>
  <x:tableStyleInfo name="TableStyleMedium2" showRowStripes="1"/>
</x:table>
</file>

<file path=xl/tables/table7.xml><?xml version="1.0" encoding="utf-8"?>
<x:table xmlns:x="http://schemas.openxmlformats.org/spreadsheetml/2006/main" id="7" name="QAChecksTable" displayName="QAChecksTable" ref="A1:E15" headerRowCount="1">
  <x:tableColumns count="5">
    <x:tableColumn id="1" name="Check_ID"/>
    <x:tableColumn id="2" name="Check"/>
    <x:tableColumn id="3" name="Target"/>
    <x:tableColumn id="4" name="Priority"/>
    <x:tableColumn id="5" name="Pass_Criterion"/>
  </x:tableColumns>
  <x:tableStyleInfo name="TableStyleMedium2" showRowStripes="1"/>
</x:table>
</file>

<file path=xl/tables/table8.xml><?xml version="1.0" encoding="utf-8"?>
<x:table xmlns:x="http://schemas.openxmlformats.org/spreadsheetml/2006/main" id="8" name="AIBuildStepsTable" displayName="AIBuildStepsTable" ref="A1:C13" headerRowCount="1">
  <x:tableColumns count="3">
    <x:tableColumn id="1" name="Step"/>
    <x:tableColumn id="2" name="Instruction"/>
    <x:tableColumn id="3" name="Expected_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fd9de14d5048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754799a2e047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617e0a4f5444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d494348c6c44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883bc9e43042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94ffbdad224c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37e422a31f43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d350204b7147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cd093d958f451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4" t="str">
        <x:v>Pokhara Project Map — Complete AI Build Package</x:v>
      </x:c>
      <x:c r="B1" s="4"/>
      <x:c r="C1" s="4"/>
      <x:c r="D1" s="4"/>
      <x:c r="E1" s="4"/>
      <x:c r="F1" s="4"/>
    </x:row>
    <x:row r="3">
      <x:c r="A3" s="12" t="str">
        <x:v>Item</x:v>
      </x:c>
      <x:c r="B3" s="12" t="str">
        <x:v>Description</x:v>
      </x:c>
    </x:row>
    <x:row r="4">
      <x:c r="A4" s="20" t="str">
        <x:v>Purpose</x:v>
      </x:c>
      <x:c r="B4" s="24" t="str">
        <x:v>Self-contained source package for recreating the exact map without external research.</x:v>
      </x:c>
    </x:row>
    <x:row r="5">
      <x:c r="A5" s="20" t="str">
        <x:v>Primary source</x:v>
      </x:c>
      <x:c r="B5" s="24" t="str">
        <x:v>Projects_Master contains authoritative project coordinates and attributes.</x:v>
      </x:c>
    </x:row>
    <x:row r="6">
      <x:c r="A6" s="20" t="str">
        <x:v>Input CRS</x:v>
      </x:c>
      <x:c r="B6" s="24" t="str">
        <x:v>WGS84 / EPSG:4326 decimal degrees.</x:v>
      </x:c>
    </x:row>
    <x:row r="7">
      <x:c r="A7" s="20" t="str">
        <x:v>Leaflet order</x:v>
      </x:c>
      <x:c r="B7" s="24" t="str">
        <x:v>[latitude, longitude].</x:v>
      </x:c>
    </x:row>
    <x:row r="8">
      <x:c r="A8" s="20" t="str">
        <x:v>GeoJSON order</x:v>
      </x:c>
      <x:c r="B8" s="24" t="str">
        <x:v>[longitude, latitude].</x:v>
      </x:c>
    </x:row>
    <x:row r="9">
      <x:c r="A9" s="20" t="str">
        <x:v>Forbidden</x:v>
      </x:c>
      <x:c r="B9" s="24" t="str">
        <x:v>Do not geocode, estimate, move markers, or create an illustrated geographic background.</x:v>
      </x:c>
    </x:row>
    <x:row r="10">
      <x:c r="A10" s="20" t="str">
        <x:v>HTML dependency</x:v>
      </x:c>
      <x:c r="B10" s="24" t="str">
        <x:v>Leaflet CDN and OpenStreetMap tiles require internet unless replaced with local assets.</x:v>
      </x:c>
    </x:row>
    <x:row r="11">
      <x:c r="A11" s="20" t="str">
        <x:v>Blank rows</x:v>
      </x:c>
      <x:c r="B11" s="24" t="str">
        <x:v>Generate markers only for complete, valid populated rows.</x:v>
      </x:c>
    </x:row>
    <x:row r="12">
      <x:c r="A12" s="20" t="str">
        <x:v>Workflow</x:v>
      </x:c>
      <x:c r="B12" s="24" t="str">
        <x:v>Validate → style by status → markers/popups → fitBounds → legend/title/scale → export.</x:v>
      </x:c>
    </x:row>
    <x:row r="13">
      <x:c r="A13" s="20" t="str">
        <x:v>Current count</x:v>
      </x:c>
      <x:c r="B13" s="24" t="n">
        <x:v>7</x:v>
      </x:c>
    </x:row>
    <x:row r="15">
      <x:c r="A15" s="29" t="str">
        <x:v>Critical: Leaflet and GeoJSON use different coordinate order. Swapping them misplaces points.</x:v>
      </x:c>
      <x:c r="B15" s="29"/>
      <x:c r="C15" s="29"/>
      <x:c r="D15" s="29"/>
      <x:c r="E15" s="29"/>
      <x:c r="F15" s="29"/>
    </x:row>
  </x:sheetData>
  <x:mergeCells>
    <x:mergeCell ref="A1:F1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8" hidden="0" customWidth="1"/>
    <x:col min="4" max="4" width="15" hidden="0" customWidth="1"/>
    <x:col min="5" max="5" width="15" hidden="0" customWidth="1"/>
    <x:col min="6" max="6" width="16" hidden="0" customWidth="1"/>
    <x:col min="7" max="7" width="14" hidden="0" customWidth="1"/>
    <x:col min="8" max="8" width="15" hidden="0" customWidth="1"/>
    <x:col min="9" max="9" width="12" hidden="0" customWidth="1"/>
    <x:col min="10" max="10" width="26" hidden="0" customWidth="1"/>
    <x:col min="11" max="11" width="14" hidden="0" customWidth="1"/>
    <x:col min="12" max="12" width="14" hidden="0" customWidth="1"/>
    <x:col min="13" max="13" width="65" hidden="0" customWidth="1"/>
  </x:cols>
  <x:sheetData>
    <x:row r="1">
      <x:c r="A1" s="12" t="str">
        <x:v>PK_ID</x:v>
      </x:c>
      <x:c r="B1" s="12" t="str">
        <x:v>project_name</x:v>
      </x:c>
      <x:c r="C1" s="12" t="str">
        <x:v>contractor</x:v>
      </x:c>
      <x:c r="D1" s="12" t="str">
        <x:v>latitude</x:v>
      </x:c>
      <x:c r="E1" s="12" t="str">
        <x:v>longitude</x:v>
      </x:c>
      <x:c r="F1" s="12" t="str">
        <x:v>status</x:v>
      </x:c>
      <x:c r="G1" s="12" t="str">
        <x:v>valid_latitude</x:v>
      </x:c>
      <x:c r="H1" s="12" t="str">
        <x:v>valid_longitude</x:v>
      </x:c>
      <x:c r="I1" s="12" t="str">
        <x:v>valid_status</x:v>
      </x:c>
      <x:c r="J1" s="12" t="str">
        <x:v>coordinate_key</x:v>
      </x:c>
      <x:c r="K1" s="12" t="str">
        <x:v>marker_color</x:v>
      </x:c>
      <x:c r="L1" s="12" t="str">
        <x:v>tooltip_text</x:v>
      </x:c>
      <x:c r="M1" s="12" t="str">
        <x:v>popup_html</x:v>
      </x:c>
    </x:row>
    <x:row r="2">
      <x:c r="A2" s="24" t="str">
        <x:v>P001</x:v>
      </x:c>
      <x:c r="B2" s="24" t="str">
        <x:v>14_bishal_paija</x:v>
      </x:c>
      <x:c r="C2" s="24" t="str">
        <x:v>Rohini Engineering and Builders Pvt Ltd</x:v>
      </x:c>
      <x:c r="D2" s="36" t="n">
        <x:v>28.200667</x:v>
      </x:c>
      <x:c r="E2" s="36" t="n">
        <x:v>84.018222</x:v>
      </x:c>
      <x:c r="F2" s="24" t="str">
        <x:v>Construction</x:v>
      </x:c>
      <x:c r="G2" s="24" t="b">
        <x:f>IF(D2="","",AND(ISNUMBER(D2),D2&gt;=-90,D2&lt;=90))</x:f>
        <x:v>1</x:v>
      </x:c>
      <x:c r="H2" s="24" t="b">
        <x:f>IF(E2="","",AND(ISNUMBER(E2),E2&gt;=-180,E2&lt;=180))</x:f>
        <x:v>1</x:v>
      </x:c>
      <x:c r="I2" s="24" t="b">
        <x:f>IF(F2="","",COUNTIF(Status_Config!$B$2:$B$50,F2)&gt;0)</x:f>
        <x:v>1</x:v>
      </x:c>
      <x:c r="J2" s="24" t="str">
        <x:f>IF(OR(D2="",E2=""),"",TEXT(D2,"0.0000000")&amp;","&amp;TEXT(E2,"0.0000000"))</x:f>
        <x:v>28.2006670,84.0182220</x:v>
      </x:c>
      <x:c r="K2" s="24" t="str">
        <x:f>IF(F2="","",IF(F2="Construction","#D73027",IF(F2="Completed","#1A9850",IF(F2="Approval","#4575B4",""))))</x:f>
        <x:v>#D73027</x:v>
      </x:c>
      <x:c r="L2" s="24" t="str">
        <x:f>IF(A2="","",A2)</x:f>
        <x:v>P001</x:v>
      </x:c>
      <x:c r="M2" s="24" t="str">
        <x:f>IF(A2="","","&lt;div style='font-family:Arial,sans-serif;min-width:240px'&gt;&lt;h3 style='margin:0 0 8px 0'&gt;"&amp;A2&amp;" — "&amp;B2&amp;"&lt;/h3&gt;&lt;div&gt;&lt;b&gt;Status:&lt;/b&gt; "&amp;F2&amp;"&lt;/div&gt;&lt;div&gt;&lt;b&gt;Contractor:&lt;/b&gt; "&amp;C2&amp;"&lt;/div&gt;&lt;div&gt;&lt;b&gt;Latitude:&lt;/b&gt; "&amp;TEXT(D2,"0.0000000")&amp;"&lt;/div&gt;&lt;div&gt;&lt;b&gt;Longitude:&lt;/b&gt; "&amp;TEXT(E2,"0.0000000")&amp;"&lt;/div&gt;&lt;/div&gt;")</x:f>
        <x:v>&lt;div style='font-family:Arial,sans-serif;min-width:240px'&gt;&lt;h3 style='margin:0 0 8px 0'&gt;P001 — 14_bishal_paija&lt;/h3&gt;&lt;div&gt;&lt;b&gt;Status:&lt;/b&gt; Construction&lt;/div&gt;&lt;div&gt;&lt;b&gt;Contractor:&lt;/b&gt; Rohini Engineering and Builders Pvt Ltd&lt;/div&gt;&lt;div&gt;&lt;b&gt;Latitude:&lt;/b&gt; 28.2006670&lt;/div&gt;&lt;div&gt;&lt;b&gt;Longitude:&lt;/b&gt; 84.0182220&lt;/div&gt;&lt;/div&gt;</x:v>
      </x:c>
    </x:row>
    <x:row r="3">
      <x:c r="A3" s="24" t="str">
        <x:v>P002</x:v>
      </x:c>
      <x:c r="B3" s="24" t="str">
        <x:v>17_samir_man_ghubaju</x:v>
      </x:c>
      <x:c r="C3" s="24" t="str">
        <x:v>Fishtail Builders Pvt Ltd</x:v>
      </x:c>
      <x:c r="D3" s="36" t="n">
        <x:v>28.196778</x:v>
      </x:c>
      <x:c r="E3" s="36" t="n">
        <x:v>83.970778</x:v>
      </x:c>
      <x:c r="F3" s="24" t="str">
        <x:v>Construction</x:v>
      </x:c>
      <x:c r="G3" s="24" t="b">
        <x:f>IF(D3="","",AND(ISNUMBER(D3),D3&gt;=-90,D3&lt;=90))</x:f>
        <x:v>1</x:v>
      </x:c>
      <x:c r="H3" s="24" t="b">
        <x:f>IF(E3="","",AND(ISNUMBER(E3),E3&gt;=-180,E3&lt;=180))</x:f>
        <x:v>1</x:v>
      </x:c>
      <x:c r="I3" s="24" t="b">
        <x:f>IF(F3="","",COUNTIF(Status_Config!$B$2:$B$50,F3)&gt;0)</x:f>
        <x:v>1</x:v>
      </x:c>
      <x:c r="J3" s="24" t="str">
        <x:f>IF(OR(D3="",E3=""),"",TEXT(D3,"0.0000000")&amp;","&amp;TEXT(E3,"0.0000000"))</x:f>
        <x:v>28.1967780,83.9707780</x:v>
      </x:c>
      <x:c r="K3" s="24" t="str">
        <x:f>IF(F3="","",IF(F3="Construction","#D73027",IF(F3="Completed","#1A9850",IF(F3="Approval","#4575B4",""))))</x:f>
        <x:v>#D73027</x:v>
      </x:c>
      <x:c r="L3" s="24" t="str">
        <x:f>IF(A3="","",A3)</x:f>
        <x:v>P002</x:v>
      </x:c>
      <x:c r="M3" s="24" t="str">
        <x:f>IF(A3="","","&lt;div style='font-family:Arial,sans-serif;min-width:240px'&gt;&lt;h3 style='margin:0 0 8px 0'&gt;"&amp;A3&amp;" — "&amp;B3&amp;"&lt;/h3&gt;&lt;div&gt;&lt;b&gt;Status:&lt;/b&gt; "&amp;F3&amp;"&lt;/div&gt;&lt;div&gt;&lt;b&gt;Contractor:&lt;/b&gt; "&amp;C3&amp;"&lt;/div&gt;&lt;div&gt;&lt;b&gt;Latitude:&lt;/b&gt; "&amp;TEXT(D3,"0.0000000")&amp;"&lt;/div&gt;&lt;div&gt;&lt;b&gt;Longitude:&lt;/b&gt; "&amp;TEXT(E3,"0.0000000")&amp;"&lt;/div&gt;&lt;/div&gt;")</x:f>
        <x:v>&lt;div style='font-family:Arial,sans-serif;min-width:240px'&gt;&lt;h3 style='margin:0 0 8px 0'&gt;P002 — 17_samir_man_ghubaju&lt;/h3&gt;&lt;div&gt;&lt;b&gt;Status:&lt;/b&gt; Construction&lt;/div&gt;&lt;div&gt;&lt;b&gt;Contractor:&lt;/b&gt; Fishtail Builders Pvt Ltd&lt;/div&gt;&lt;div&gt;&lt;b&gt;Latitude:&lt;/b&gt; 28.1967780&lt;/div&gt;&lt;div&gt;&lt;b&gt;Longitude:&lt;/b&gt; 83.9707780&lt;/div&gt;&lt;/div&gt;</x:v>
      </x:c>
    </x:row>
    <x:row r="4">
      <x:c r="A4" s="24" t="str">
        <x:v>P003</x:v>
      </x:c>
      <x:c r="B4" s="24" t="str">
        <x:v>13_hari_baral</x:v>
      </x:c>
      <x:c r="C4" s="24" t="str">
        <x:v>Fishtail Builders Pvt Ltd</x:v>
      </x:c>
      <x:c r="D4" s="36" t="n">
        <x:v>28.226111</x:v>
      </x:c>
      <x:c r="E4" s="36" t="n">
        <x:v>84.051389</x:v>
      </x:c>
      <x:c r="F4" s="24" t="str">
        <x:v>Construction</x:v>
      </x:c>
      <x:c r="G4" s="24" t="b">
        <x:f>IF(D4="","",AND(ISNUMBER(D4),D4&gt;=-90,D4&lt;=90))</x:f>
        <x:v>1</x:v>
      </x:c>
      <x:c r="H4" s="24" t="b">
        <x:f>IF(E4="","",AND(ISNUMBER(E4),E4&gt;=-180,E4&lt;=180))</x:f>
        <x:v>1</x:v>
      </x:c>
      <x:c r="I4" s="24" t="b">
        <x:f>IF(F4="","",COUNTIF(Status_Config!$B$2:$B$50,F4)&gt;0)</x:f>
        <x:v>1</x:v>
      </x:c>
      <x:c r="J4" s="24" t="str">
        <x:f>IF(OR(D4="",E4=""),"",TEXT(D4,"0.0000000")&amp;","&amp;TEXT(E4,"0.0000000"))</x:f>
        <x:v>28.2261110,84.0513890</x:v>
      </x:c>
      <x:c r="K4" s="24" t="str">
        <x:f>IF(F4="","",IF(F4="Construction","#D73027",IF(F4="Completed","#1A9850",IF(F4="Approval","#4575B4",""))))</x:f>
        <x:v>#D73027</x:v>
      </x:c>
      <x:c r="L4" s="24" t="str">
        <x:f>IF(A4="","",A4)</x:f>
        <x:v>P003</x:v>
      </x:c>
      <x:c r="M4" s="24" t="str">
        <x:f>IF(A4="","","&lt;div style='font-family:Arial,sans-serif;min-width:240px'&gt;&lt;h3 style='margin:0 0 8px 0'&gt;"&amp;A4&amp;" — "&amp;B4&amp;"&lt;/h3&gt;&lt;div&gt;&lt;b&gt;Status:&lt;/b&gt; "&amp;F4&amp;"&lt;/div&gt;&lt;div&gt;&lt;b&gt;Contractor:&lt;/b&gt; "&amp;C4&amp;"&lt;/div&gt;&lt;div&gt;&lt;b&gt;Latitude:&lt;/b&gt; "&amp;TEXT(D4,"0.0000000")&amp;"&lt;/div&gt;&lt;div&gt;&lt;b&gt;Longitude:&lt;/b&gt; "&amp;TEXT(E4,"0.0000000")&amp;"&lt;/div&gt;&lt;/div&gt;")</x:f>
        <x:v>&lt;div style='font-family:Arial,sans-serif;min-width:240px'&gt;&lt;h3 style='margin:0 0 8px 0'&gt;P003 — 13_hari_baral&lt;/h3&gt;&lt;div&gt;&lt;b&gt;Status:&lt;/b&gt; Construction&lt;/div&gt;&lt;div&gt;&lt;b&gt;Contractor:&lt;/b&gt; Fishtail Builders Pvt Ltd&lt;/div&gt;&lt;div&gt;&lt;b&gt;Latitude:&lt;/b&gt; 28.2261110&lt;/div&gt;&lt;div&gt;&lt;b&gt;Longitude:&lt;/b&gt; 84.0513890&lt;/div&gt;&lt;/div&gt;</x:v>
      </x:c>
    </x:row>
    <x:row r="5">
      <x:c r="A5" s="24" t="str">
        <x:v>P004</x:v>
      </x:c>
      <x:c r="B5" s="24" t="str">
        <x:v>16_yamuna_pun_adai</x:v>
      </x:c>
      <x:c r="C5" s="24" t="str">
        <x:v>Fishtail Builders Pvt Ltd</x:v>
      </x:c>
      <x:c r="D5" s="36" t="n">
        <x:v>28.2555</x:v>
      </x:c>
      <x:c r="E5" s="36" t="n">
        <x:v>83.97975</x:v>
      </x:c>
      <x:c r="F5" s="24" t="str">
        <x:v>Completed</x:v>
      </x:c>
      <x:c r="G5" s="24" t="b">
        <x:f>IF(D5="","",AND(ISNUMBER(D5),D5&gt;=-90,D5&lt;=90))</x:f>
        <x:v>1</x:v>
      </x:c>
      <x:c r="H5" s="24" t="b">
        <x:f>IF(E5="","",AND(ISNUMBER(E5),E5&gt;=-180,E5&lt;=180))</x:f>
        <x:v>1</x:v>
      </x:c>
      <x:c r="I5" s="24" t="b">
        <x:f>IF(F5="","",COUNTIF(Status_Config!$B$2:$B$50,F5)&gt;0)</x:f>
        <x:v>1</x:v>
      </x:c>
      <x:c r="J5" s="24" t="str">
        <x:f>IF(OR(D5="",E5=""),"",TEXT(D5,"0.0000000")&amp;","&amp;TEXT(E5,"0.0000000"))</x:f>
        <x:v>28.2555000,83.9797500</x:v>
      </x:c>
      <x:c r="K5" s="24" t="str">
        <x:f>IF(F5="","",IF(F5="Construction","#D73027",IF(F5="Completed","#1A9850",IF(F5="Approval","#4575B4",""))))</x:f>
        <x:v>#1A9850</x:v>
      </x:c>
      <x:c r="L5" s="24" t="str">
        <x:f>IF(A5="","",A5)</x:f>
        <x:v>P004</x:v>
      </x:c>
      <x:c r="M5" s="24" t="str">
        <x:f>IF(A5="","","&lt;div style='font-family:Arial,sans-serif;min-width:240px'&gt;&lt;h3 style='margin:0 0 8px 0'&gt;"&amp;A5&amp;" — "&amp;B5&amp;"&lt;/h3&gt;&lt;div&gt;&lt;b&gt;Status:&lt;/b&gt; "&amp;F5&amp;"&lt;/div&gt;&lt;div&gt;&lt;b&gt;Contractor:&lt;/b&gt; "&amp;C5&amp;"&lt;/div&gt;&lt;div&gt;&lt;b&gt;Latitude:&lt;/b&gt; "&amp;TEXT(D5,"0.0000000")&amp;"&lt;/div&gt;&lt;div&gt;&lt;b&gt;Longitude:&lt;/b&gt; "&amp;TEXT(E5,"0.0000000")&amp;"&lt;/div&gt;&lt;/div&gt;")</x:f>
        <x:v>&lt;div style='font-family:Arial,sans-serif;min-width:240px'&gt;&lt;h3 style='margin:0 0 8px 0'&gt;P004 — 16_yamuna_pun_adai&lt;/h3&gt;&lt;div&gt;&lt;b&gt;Status:&lt;/b&gt; Completed&lt;/div&gt;&lt;div&gt;&lt;b&gt;Contractor:&lt;/b&gt; Fishtail Builders Pvt Ltd&lt;/div&gt;&lt;div&gt;&lt;b&gt;Latitude:&lt;/b&gt; 28.2555000&lt;/div&gt;&lt;div&gt;&lt;b&gt;Longitude:&lt;/b&gt; 83.9797500&lt;/div&gt;&lt;/div&gt;</x:v>
      </x:c>
    </x:row>
    <x:row r="6">
      <x:c r="A6" s="24" t="str">
        <x:v>P005</x:v>
      </x:c>
      <x:c r="B6" s="24" t="str">
        <x:v>30_sabitri_giri_dipti_giri</x:v>
      </x:c>
      <x:c r="C6" s="24" t="str">
        <x:v>Fishtail Builders Pvt Ltd</x:v>
      </x:c>
      <x:c r="D6" s="36" t="n">
        <x:v>28.160278</x:v>
      </x:c>
      <x:c r="E6" s="36" t="n">
        <x:v>84.0825</x:v>
      </x:c>
      <x:c r="F6" s="24" t="str">
        <x:v>Construction</x:v>
      </x:c>
      <x:c r="G6" s="24" t="b">
        <x:f>IF(D6="","",AND(ISNUMBER(D6),D6&gt;=-90,D6&lt;=90))</x:f>
        <x:v>1</x:v>
      </x:c>
      <x:c r="H6" s="24" t="b">
        <x:f>IF(E6="","",AND(ISNUMBER(E6),E6&gt;=-180,E6&lt;=180))</x:f>
        <x:v>1</x:v>
      </x:c>
      <x:c r="I6" s="24" t="b">
        <x:f>IF(F6="","",COUNTIF(Status_Config!$B$2:$B$50,F6)&gt;0)</x:f>
        <x:v>1</x:v>
      </x:c>
      <x:c r="J6" s="24" t="str">
        <x:f>IF(OR(D6="",E6=""),"",TEXT(D6,"0.0000000")&amp;","&amp;TEXT(E6,"0.0000000"))</x:f>
        <x:v>28.1602780,84.0825000</x:v>
      </x:c>
      <x:c r="K6" s="24" t="str">
        <x:f>IF(F6="","",IF(F6="Construction","#D73027",IF(F6="Completed","#1A9850",IF(F6="Approval","#4575B4",""))))</x:f>
        <x:v>#D73027</x:v>
      </x:c>
      <x:c r="L6" s="24" t="str">
        <x:f>IF(A6="","",A6)</x:f>
        <x:v>P005</x:v>
      </x:c>
      <x:c r="M6" s="24" t="str">
        <x:f>IF(A6="","","&lt;div style='font-family:Arial,sans-serif;min-width:240px'&gt;&lt;h3 style='margin:0 0 8px 0'&gt;"&amp;A6&amp;" — "&amp;B6&amp;"&lt;/h3&gt;&lt;div&gt;&lt;b&gt;Status:&lt;/b&gt; "&amp;F6&amp;"&lt;/div&gt;&lt;div&gt;&lt;b&gt;Contractor:&lt;/b&gt; "&amp;C6&amp;"&lt;/div&gt;&lt;div&gt;&lt;b&gt;Latitude:&lt;/b&gt; "&amp;TEXT(D6,"0.0000000")&amp;"&lt;/div&gt;&lt;div&gt;&lt;b&gt;Longitude:&lt;/b&gt; "&amp;TEXT(E6,"0.0000000")&amp;"&lt;/div&gt;&lt;/div&gt;")</x:f>
        <x:v>&lt;div style='font-family:Arial,sans-serif;min-width:240px'&gt;&lt;h3 style='margin:0 0 8px 0'&gt;P005 — 30_sabitri_giri_dipti_giri&lt;/h3&gt;&lt;div&gt;&lt;b&gt;Status:&lt;/b&gt; Construction&lt;/div&gt;&lt;div&gt;&lt;b&gt;Contractor:&lt;/b&gt; Fishtail Builders Pvt Ltd&lt;/div&gt;&lt;div&gt;&lt;b&gt;Latitude:&lt;/b&gt; 28.1602780&lt;/div&gt;&lt;div&gt;&lt;b&gt;Longitude:&lt;/b&gt; 84.0825000&lt;/div&gt;&lt;/div&gt;</x:v>
      </x:c>
    </x:row>
    <x:row r="7">
      <x:c r="A7" s="24" t="str">
        <x:v>P006</x:v>
      </x:c>
      <x:c r="B7" s="24" t="str">
        <x:v>31_sharada_adhikari</x:v>
      </x:c>
      <x:c r="C7" s="24" t="str">
        <x:v>Fishtail Builders Pvt Ltd</x:v>
      </x:c>
      <x:c r="D7" s="36" t="n">
        <x:v>28.1657989</x:v>
      </x:c>
      <x:c r="E7" s="36" t="n">
        <x:v>84.115339</x:v>
      </x:c>
      <x:c r="F7" s="24" t="str">
        <x:v>Construction</x:v>
      </x:c>
      <x:c r="G7" s="24" t="b">
        <x:f>IF(D7="","",AND(ISNUMBER(D7),D7&gt;=-90,D7&lt;=90))</x:f>
        <x:v>1</x:v>
      </x:c>
      <x:c r="H7" s="24" t="b">
        <x:f>IF(E7="","",AND(ISNUMBER(E7),E7&gt;=-180,E7&lt;=180))</x:f>
        <x:v>1</x:v>
      </x:c>
      <x:c r="I7" s="24" t="b">
        <x:f>IF(F7="","",COUNTIF(Status_Config!$B$2:$B$50,F7)&gt;0)</x:f>
        <x:v>1</x:v>
      </x:c>
      <x:c r="J7" s="24" t="str">
        <x:f>IF(OR(D7="",E7=""),"",TEXT(D7,"0.0000000")&amp;","&amp;TEXT(E7,"0.0000000"))</x:f>
        <x:v>28.1657989,84.1153390</x:v>
      </x:c>
      <x:c r="K7" s="24" t="str">
        <x:f>IF(F7="","",IF(F7="Construction","#D73027",IF(F7="Completed","#1A9850",IF(F7="Approval","#4575B4",""))))</x:f>
        <x:v>#D73027</x:v>
      </x:c>
      <x:c r="L7" s="24" t="str">
        <x:f>IF(A7="","",A7)</x:f>
        <x:v>P006</x:v>
      </x:c>
      <x:c r="M7" s="24" t="str">
        <x:f>IF(A7="","","&lt;div style='font-family:Arial,sans-serif;min-width:240px'&gt;&lt;h3 style='margin:0 0 8px 0'&gt;"&amp;A7&amp;" — "&amp;B7&amp;"&lt;/h3&gt;&lt;div&gt;&lt;b&gt;Status:&lt;/b&gt; "&amp;F7&amp;"&lt;/div&gt;&lt;div&gt;&lt;b&gt;Contractor:&lt;/b&gt; "&amp;C7&amp;"&lt;/div&gt;&lt;div&gt;&lt;b&gt;Latitude:&lt;/b&gt; "&amp;TEXT(D7,"0.0000000")&amp;"&lt;/div&gt;&lt;div&gt;&lt;b&gt;Longitude:&lt;/b&gt; "&amp;TEXT(E7,"0.0000000")&amp;"&lt;/div&gt;&lt;/div&gt;")</x:f>
        <x:v>&lt;div style='font-family:Arial,sans-serif;min-width:240px'&gt;&lt;h3 style='margin:0 0 8px 0'&gt;P006 — 31_sharada_adhikari&lt;/h3&gt;&lt;div&gt;&lt;b&gt;Status:&lt;/b&gt; Construction&lt;/div&gt;&lt;div&gt;&lt;b&gt;Contractor:&lt;/b&gt; Fishtail Builders Pvt Ltd&lt;/div&gt;&lt;div&gt;&lt;b&gt;Latitude:&lt;/b&gt; 28.1657989&lt;/div&gt;&lt;div&gt;&lt;b&gt;Longitude:&lt;/b&gt; 84.1153390&lt;/div&gt;&lt;/div&gt;</x:v>
      </x:c>
    </x:row>
    <x:row r="8">
      <x:c r="A8" s="24" t="str">
        <x:v>P007</x:v>
      </x:c>
      <x:c r="B8" s="24" t="str">
        <x:v>15_narayani_parajuli</x:v>
      </x:c>
      <x:c r="C8" s="24" t="str">
        <x:v>Fishtail Builders Pvt Ltd</x:v>
      </x:c>
      <x:c r="D8" s="36" t="n">
        <x:v>28.1951253</x:v>
      </x:c>
      <x:c r="E8" s="36" t="n">
        <x:v>83.9956481</x:v>
      </x:c>
      <x:c r="F8" s="24" t="str">
        <x:v>Approval</x:v>
      </x:c>
      <x:c r="G8" s="24" t="b">
        <x:f>IF(D8="","",AND(ISNUMBER(D8),D8&gt;=-90,D8&lt;=90))</x:f>
        <x:v>1</x:v>
      </x:c>
      <x:c r="H8" s="24" t="b">
        <x:f>IF(E8="","",AND(ISNUMBER(E8),E8&gt;=-180,E8&lt;=180))</x:f>
        <x:v>1</x:v>
      </x:c>
      <x:c r="I8" s="24" t="b">
        <x:f>IF(F8="","",COUNTIF(Status_Config!$B$2:$B$50,F8)&gt;0)</x:f>
        <x:v>1</x:v>
      </x:c>
      <x:c r="J8" s="24" t="str">
        <x:f>IF(OR(D8="",E8=""),"",TEXT(D8,"0.0000000")&amp;","&amp;TEXT(E8,"0.0000000"))</x:f>
        <x:v>28.1951253,83.9956481</x:v>
      </x:c>
      <x:c r="K8" s="24" t="str">
        <x:f>IF(F8="","",IF(F8="Construction","#D73027",IF(F8="Completed","#1A9850",IF(F8="Approval","#4575B4",""))))</x:f>
        <x:v>#4575B4</x:v>
      </x:c>
      <x:c r="L8" s="24" t="str">
        <x:f>IF(A8="","",A8)</x:f>
        <x:v>P007</x:v>
      </x:c>
      <x:c r="M8" s="24" t="str">
        <x:f>IF(A8="","","&lt;div style='font-family:Arial,sans-serif;min-width:240px'&gt;&lt;h3 style='margin:0 0 8px 0'&gt;"&amp;A8&amp;" — "&amp;B8&amp;"&lt;/h3&gt;&lt;div&gt;&lt;b&gt;Status:&lt;/b&gt; "&amp;F8&amp;"&lt;/div&gt;&lt;div&gt;&lt;b&gt;Contractor:&lt;/b&gt; "&amp;C8&amp;"&lt;/div&gt;&lt;div&gt;&lt;b&gt;Latitude:&lt;/b&gt; "&amp;TEXT(D8,"0.0000000")&amp;"&lt;/div&gt;&lt;div&gt;&lt;b&gt;Longitude:&lt;/b&gt; "&amp;TEXT(E8,"0.0000000")&amp;"&lt;/div&gt;&lt;/div&gt;")</x:f>
        <x:v>&lt;div style='font-family:Arial,sans-serif;min-width:240px'&gt;&lt;h3 style='margin:0 0 8px 0'&gt;P007 — 15_narayani_parajuli&lt;/h3&gt;&lt;div&gt;&lt;b&gt;Status:&lt;/b&gt; Approval&lt;/div&gt;&lt;div&gt;&lt;b&gt;Contractor:&lt;/b&gt; Fishtail Builders Pvt Ltd&lt;/div&gt;&lt;div&gt;&lt;b&gt;Latitude:&lt;/b&gt; 28.1951253&lt;/div&gt;&lt;div&gt;&lt;b&gt;Longitude:&lt;/b&gt; 83.9956481&lt;/div&gt;&lt;/div&gt;</x:v>
      </x:c>
    </x:row>
    <x:row r="9">
      <x:c r="A9" s="24"/>
      <x:c r="B9" s="24"/>
      <x:c r="C9" s="24"/>
      <x:c r="D9" s="36"/>
      <x:c r="E9" s="36"/>
      <x:c r="F9" s="24"/>
      <x:c r="G9" s="24" t="str">
        <x:f>IF(D9="","",AND(ISNUMBER(D9),D9&gt;=-90,D9&lt;=90))</x:f>
      </x:c>
      <x:c r="H9" s="24" t="str">
        <x:f>IF(E9="","",AND(ISNUMBER(E9),E9&gt;=-180,E9&lt;=180))</x:f>
      </x:c>
      <x:c r="I9" s="24" t="str">
        <x:f>IF(F9="","",COUNTIF(Status_Config!$B$2:$B$50,F9)&gt;0)</x:f>
      </x:c>
      <x:c r="J9" s="24" t="str">
        <x:f>IF(OR(D9="",E9=""),"",TEXT(D9,"0.0000000")&amp;","&amp;TEXT(E9,"0.0000000"))</x:f>
      </x:c>
      <x:c r="K9" s="24" t="str">
        <x:f>IF(F9="","",IF(F9="Construction","#D73027",IF(F9="Completed","#1A9850",IF(F9="Approval","#4575B4",""))))</x:f>
      </x:c>
      <x:c r="L9" s="24" t="str">
        <x:f>IF(A9="","",A9)</x:f>
      </x:c>
      <x:c r="M9" s="24" t="str">
        <x:f>IF(A9="","","&lt;div style='font-family:Arial,sans-serif;min-width:240px'&gt;&lt;h3 style='margin:0 0 8px 0'&gt;"&amp;A9&amp;" — "&amp;B9&amp;"&lt;/h3&gt;&lt;div&gt;&lt;b&gt;Status:&lt;/b&gt; "&amp;F9&amp;"&lt;/div&gt;&lt;div&gt;&lt;b&gt;Contractor:&lt;/b&gt; "&amp;C9&amp;"&lt;/div&gt;&lt;div&gt;&lt;b&gt;Latitude:&lt;/b&gt; "&amp;TEXT(D9,"0.0000000")&amp;"&lt;/div&gt;&lt;div&gt;&lt;b&gt;Longitude:&lt;/b&gt; "&amp;TEXT(E9,"0.0000000")&amp;"&lt;/div&gt;&lt;/div&gt;")</x:f>
      </x:c>
    </x:row>
    <x:row r="10">
      <x:c r="A10" s="24"/>
      <x:c r="B10" s="24"/>
      <x:c r="C10" s="24"/>
      <x:c r="D10" s="36"/>
      <x:c r="E10" s="36"/>
      <x:c r="F10" s="24"/>
      <x:c r="G10" s="24" t="str">
        <x:f>IF(D10="","",AND(ISNUMBER(D10),D10&gt;=-90,D10&lt;=90))</x:f>
      </x:c>
      <x:c r="H10" s="24" t="str">
        <x:f>IF(E10="","",AND(ISNUMBER(E10),E10&gt;=-180,E10&lt;=180))</x:f>
      </x:c>
      <x:c r="I10" s="24" t="str">
        <x:f>IF(F10="","",COUNTIF(Status_Config!$B$2:$B$50,F10)&gt;0)</x:f>
      </x:c>
      <x:c r="J10" s="24" t="str">
        <x:f>IF(OR(D10="",E10=""),"",TEXT(D10,"0.0000000")&amp;","&amp;TEXT(E10,"0.0000000"))</x:f>
      </x:c>
      <x:c r="K10" s="24" t="str">
        <x:f>IF(F10="","",IF(F10="Construction","#D73027",IF(F10="Completed","#1A9850",IF(F10="Approval","#4575B4",""))))</x:f>
      </x:c>
      <x:c r="L10" s="24" t="str">
        <x:f>IF(A10="","",A10)</x:f>
      </x:c>
      <x:c r="M10" s="24" t="str">
        <x:f>IF(A10="","","&lt;div style='font-family:Arial,sans-serif;min-width:240px'&gt;&lt;h3 style='margin:0 0 8px 0'&gt;"&amp;A10&amp;" — "&amp;B10&amp;"&lt;/h3&gt;&lt;div&gt;&lt;b&gt;Status:&lt;/b&gt; "&amp;F10&amp;"&lt;/div&gt;&lt;div&gt;&lt;b&gt;Contractor:&lt;/b&gt; "&amp;C10&amp;"&lt;/div&gt;&lt;div&gt;&lt;b&gt;Latitude:&lt;/b&gt; "&amp;TEXT(D10,"0.0000000")&amp;"&lt;/div&gt;&lt;div&gt;&lt;b&gt;Longitude:&lt;/b&gt; "&amp;TEXT(E10,"0.0000000")&amp;"&lt;/div&gt;&lt;/div&gt;")</x:f>
      </x:c>
    </x:row>
    <x:row r="11">
      <x:c r="A11" s="24"/>
      <x:c r="B11" s="24"/>
      <x:c r="C11" s="24"/>
      <x:c r="D11" s="36"/>
      <x:c r="E11" s="36"/>
      <x:c r="F11" s="24"/>
      <x:c r="G11" s="24" t="str">
        <x:f>IF(D11="","",AND(ISNUMBER(D11),D11&gt;=-90,D11&lt;=90))</x:f>
      </x:c>
      <x:c r="H11" s="24" t="str">
        <x:f>IF(E11="","",AND(ISNUMBER(E11),E11&gt;=-180,E11&lt;=180))</x:f>
      </x:c>
      <x:c r="I11" s="24" t="str">
        <x:f>IF(F11="","",COUNTIF(Status_Config!$B$2:$B$50,F11)&gt;0)</x:f>
      </x:c>
      <x:c r="J11" s="24" t="str">
        <x:f>IF(OR(D11="",E11=""),"",TEXT(D11,"0.0000000")&amp;","&amp;TEXT(E11,"0.0000000"))</x:f>
      </x:c>
      <x:c r="K11" s="24" t="str">
        <x:f>IF(F11="","",IF(F11="Construction","#D73027",IF(F11="Completed","#1A9850",IF(F11="Approval","#4575B4",""))))</x:f>
      </x:c>
      <x:c r="L11" s="24" t="str">
        <x:f>IF(A11="","",A11)</x:f>
      </x:c>
      <x:c r="M11" s="24" t="str">
        <x:f>IF(A11="","","&lt;div style='font-family:Arial,sans-serif;min-width:240px'&gt;&lt;h3 style='margin:0 0 8px 0'&gt;"&amp;A11&amp;" — "&amp;B11&amp;"&lt;/h3&gt;&lt;div&gt;&lt;b&gt;Status:&lt;/b&gt; "&amp;F11&amp;"&lt;/div&gt;&lt;div&gt;&lt;b&gt;Contractor:&lt;/b&gt; "&amp;C11&amp;"&lt;/div&gt;&lt;div&gt;&lt;b&gt;Latitude:&lt;/b&gt; "&amp;TEXT(D11,"0.0000000")&amp;"&lt;/div&gt;&lt;div&gt;&lt;b&gt;Longitude:&lt;/b&gt; "&amp;TEXT(E11,"0.0000000")&amp;"&lt;/div&gt;&lt;/div&gt;")</x:f>
      </x:c>
    </x:row>
    <x:row r="12">
      <x:c r="A12" s="24"/>
      <x:c r="B12" s="24"/>
      <x:c r="C12" s="24"/>
      <x:c r="D12" s="36"/>
      <x:c r="E12" s="36"/>
      <x:c r="F12" s="24"/>
      <x:c r="G12" s="24" t="str">
        <x:f>IF(D12="","",AND(ISNUMBER(D12),D12&gt;=-90,D12&lt;=90))</x:f>
      </x:c>
      <x:c r="H12" s="24" t="str">
        <x:f>IF(E12="","",AND(ISNUMBER(E12),E12&gt;=-180,E12&lt;=180))</x:f>
      </x:c>
      <x:c r="I12" s="24" t="str">
        <x:f>IF(F12="","",COUNTIF(Status_Config!$B$2:$B$50,F12)&gt;0)</x:f>
      </x:c>
      <x:c r="J12" s="24" t="str">
        <x:f>IF(OR(D12="",E12=""),"",TEXT(D12,"0.0000000")&amp;","&amp;TEXT(E12,"0.0000000"))</x:f>
      </x:c>
      <x:c r="K12" s="24" t="str">
        <x:f>IF(F12="","",IF(F12="Construction","#D73027",IF(F12="Completed","#1A9850",IF(F12="Approval","#4575B4",""))))</x:f>
      </x:c>
      <x:c r="L12" s="24" t="str">
        <x:f>IF(A12="","",A12)</x:f>
      </x:c>
      <x:c r="M12" s="24" t="str">
        <x:f>IF(A12="","","&lt;div style='font-family:Arial,sans-serif;min-width:240px'&gt;&lt;h3 style='margin:0 0 8px 0'&gt;"&amp;A12&amp;" — "&amp;B12&amp;"&lt;/h3&gt;&lt;div&gt;&lt;b&gt;Status:&lt;/b&gt; "&amp;F12&amp;"&lt;/div&gt;&lt;div&gt;&lt;b&gt;Contractor:&lt;/b&gt; "&amp;C12&amp;"&lt;/div&gt;&lt;div&gt;&lt;b&gt;Latitude:&lt;/b&gt; "&amp;TEXT(D12,"0.0000000")&amp;"&lt;/div&gt;&lt;div&gt;&lt;b&gt;Longitude:&lt;/b&gt; "&amp;TEXT(E12,"0.0000000")&amp;"&lt;/div&gt;&lt;/div&gt;")</x:f>
      </x:c>
    </x:row>
    <x:row r="13">
      <x:c r="A13" s="24"/>
      <x:c r="B13" s="24"/>
      <x:c r="C13" s="24"/>
      <x:c r="D13" s="36"/>
      <x:c r="E13" s="36"/>
      <x:c r="F13" s="24"/>
      <x:c r="G13" s="24" t="str">
        <x:f>IF(D13="","",AND(ISNUMBER(D13),D13&gt;=-90,D13&lt;=90))</x:f>
      </x:c>
      <x:c r="H13" s="24" t="str">
        <x:f>IF(E13="","",AND(ISNUMBER(E13),E13&gt;=-180,E13&lt;=180))</x:f>
      </x:c>
      <x:c r="I13" s="24" t="str">
        <x:f>IF(F13="","",COUNTIF(Status_Config!$B$2:$B$50,F13)&gt;0)</x:f>
      </x:c>
      <x:c r="J13" s="24" t="str">
        <x:f>IF(OR(D13="",E13=""),"",TEXT(D13,"0.0000000")&amp;","&amp;TEXT(E13,"0.0000000"))</x:f>
      </x:c>
      <x:c r="K13" s="24" t="str">
        <x:f>IF(F13="","",IF(F13="Construction","#D73027",IF(F13="Completed","#1A9850",IF(F13="Approval","#4575B4",""))))</x:f>
      </x:c>
      <x:c r="L13" s="24" t="str">
        <x:f>IF(A13="","",A13)</x:f>
      </x:c>
      <x:c r="M13" s="24" t="str">
        <x:f>IF(A13="","","&lt;div style='font-family:Arial,sans-serif;min-width:240px'&gt;&lt;h3 style='margin:0 0 8px 0'&gt;"&amp;A13&amp;" — "&amp;B13&amp;"&lt;/h3&gt;&lt;div&gt;&lt;b&gt;Status:&lt;/b&gt; "&amp;F13&amp;"&lt;/div&gt;&lt;div&gt;&lt;b&gt;Contractor:&lt;/b&gt; "&amp;C13&amp;"&lt;/div&gt;&lt;div&gt;&lt;b&gt;Latitude:&lt;/b&gt; "&amp;TEXT(D13,"0.0000000")&amp;"&lt;/div&gt;&lt;div&gt;&lt;b&gt;Longitude:&lt;/b&gt; "&amp;TEXT(E13,"0.0000000")&amp;"&lt;/div&gt;&lt;/div&gt;")</x:f>
      </x:c>
    </x:row>
    <x:row r="14">
      <x:c r="A14" s="24"/>
      <x:c r="B14" s="24"/>
      <x:c r="C14" s="24"/>
      <x:c r="D14" s="36"/>
      <x:c r="E14" s="36"/>
      <x:c r="F14" s="24"/>
      <x:c r="G14" s="24" t="str">
        <x:f>IF(D14="","",AND(ISNUMBER(D14),D14&gt;=-90,D14&lt;=90))</x:f>
      </x:c>
      <x:c r="H14" s="24" t="str">
        <x:f>IF(E14="","",AND(ISNUMBER(E14),E14&gt;=-180,E14&lt;=180))</x:f>
      </x:c>
      <x:c r="I14" s="24" t="str">
        <x:f>IF(F14="","",COUNTIF(Status_Config!$B$2:$B$50,F14)&gt;0)</x:f>
      </x:c>
      <x:c r="J14" s="24" t="str">
        <x:f>IF(OR(D14="",E14=""),"",TEXT(D14,"0.0000000")&amp;","&amp;TEXT(E14,"0.0000000"))</x:f>
      </x:c>
      <x:c r="K14" s="24" t="str">
        <x:f>IF(F14="","",IF(F14="Construction","#D73027",IF(F14="Completed","#1A9850",IF(F14="Approval","#4575B4",""))))</x:f>
      </x:c>
      <x:c r="L14" s="24" t="str">
        <x:f>IF(A14="","",A14)</x:f>
      </x:c>
      <x:c r="M14" s="24" t="str">
        <x:f>IF(A14="","","&lt;div style='font-family:Arial,sans-serif;min-width:240px'&gt;&lt;h3 style='margin:0 0 8px 0'&gt;"&amp;A14&amp;" — "&amp;B14&amp;"&lt;/h3&gt;&lt;div&gt;&lt;b&gt;Status:&lt;/b&gt; "&amp;F14&amp;"&lt;/div&gt;&lt;div&gt;&lt;b&gt;Contractor:&lt;/b&gt; "&amp;C14&amp;"&lt;/div&gt;&lt;div&gt;&lt;b&gt;Latitude:&lt;/b&gt; "&amp;TEXT(D14,"0.0000000")&amp;"&lt;/div&gt;&lt;div&gt;&lt;b&gt;Longitude:&lt;/b&gt; "&amp;TEXT(E14,"0.0000000")&amp;"&lt;/div&gt;&lt;/div&gt;")</x:f>
      </x:c>
    </x:row>
    <x:row r="15">
      <x:c r="A15" s="24"/>
      <x:c r="B15" s="24"/>
      <x:c r="C15" s="24"/>
      <x:c r="D15" s="36"/>
      <x:c r="E15" s="36"/>
      <x:c r="F15" s="24"/>
      <x:c r="G15" s="24" t="str">
        <x:f>IF(D15="","",AND(ISNUMBER(D15),D15&gt;=-90,D15&lt;=90))</x:f>
      </x:c>
      <x:c r="H15" s="24" t="str">
        <x:f>IF(E15="","",AND(ISNUMBER(E15),E15&gt;=-180,E15&lt;=180))</x:f>
      </x:c>
      <x:c r="I15" s="24" t="str">
        <x:f>IF(F15="","",COUNTIF(Status_Config!$B$2:$B$50,F15)&gt;0)</x:f>
      </x:c>
      <x:c r="J15" s="24" t="str">
        <x:f>IF(OR(D15="",E15=""),"",TEXT(D15,"0.0000000")&amp;","&amp;TEXT(E15,"0.0000000"))</x:f>
      </x:c>
      <x:c r="K15" s="24" t="str">
        <x:f>IF(F15="","",IF(F15="Construction","#D73027",IF(F15="Completed","#1A9850",IF(F15="Approval","#4575B4",""))))</x:f>
      </x:c>
      <x:c r="L15" s="24" t="str">
        <x:f>IF(A15="","",A15)</x:f>
      </x:c>
      <x:c r="M15" s="24" t="str">
        <x:f>IF(A15="","","&lt;div style='font-family:Arial,sans-serif;min-width:240px'&gt;&lt;h3 style='margin:0 0 8px 0'&gt;"&amp;A15&amp;" — "&amp;B15&amp;"&lt;/h3&gt;&lt;div&gt;&lt;b&gt;Status:&lt;/b&gt; "&amp;F15&amp;"&lt;/div&gt;&lt;div&gt;&lt;b&gt;Contractor:&lt;/b&gt; "&amp;C15&amp;"&lt;/div&gt;&lt;div&gt;&lt;b&gt;Latitude:&lt;/b&gt; "&amp;TEXT(D15,"0.0000000")&amp;"&lt;/div&gt;&lt;div&gt;&lt;b&gt;Longitude:&lt;/b&gt; "&amp;TEXT(E15,"0.0000000")&amp;"&lt;/div&gt;&lt;/div&gt;")</x:f>
      </x:c>
    </x:row>
    <x:row r="16">
      <x:c r="A16" s="24"/>
      <x:c r="B16" s="24"/>
      <x:c r="C16" s="24"/>
      <x:c r="D16" s="36"/>
      <x:c r="E16" s="36"/>
      <x:c r="F16" s="24"/>
      <x:c r="G16" s="24" t="str">
        <x:f>IF(D16="","",AND(ISNUMBER(D16),D16&gt;=-90,D16&lt;=90))</x:f>
      </x:c>
      <x:c r="H16" s="24" t="str">
        <x:f>IF(E16="","",AND(ISNUMBER(E16),E16&gt;=-180,E16&lt;=180))</x:f>
      </x:c>
      <x:c r="I16" s="24" t="str">
        <x:f>IF(F16="","",COUNTIF(Status_Config!$B$2:$B$50,F16)&gt;0)</x:f>
      </x:c>
      <x:c r="J16" s="24" t="str">
        <x:f>IF(OR(D16="",E16=""),"",TEXT(D16,"0.0000000")&amp;","&amp;TEXT(E16,"0.0000000"))</x:f>
      </x:c>
      <x:c r="K16" s="24" t="str">
        <x:f>IF(F16="","",IF(F16="Construction","#D73027",IF(F16="Completed","#1A9850",IF(F16="Approval","#4575B4",""))))</x:f>
      </x:c>
      <x:c r="L16" s="24" t="str">
        <x:f>IF(A16="","",A16)</x:f>
      </x:c>
      <x:c r="M16" s="24" t="str">
        <x:f>IF(A16="","","&lt;div style='font-family:Arial,sans-serif;min-width:240px'&gt;&lt;h3 style='margin:0 0 8px 0'&gt;"&amp;A16&amp;" — "&amp;B16&amp;"&lt;/h3&gt;&lt;div&gt;&lt;b&gt;Status:&lt;/b&gt; "&amp;F16&amp;"&lt;/div&gt;&lt;div&gt;&lt;b&gt;Contractor:&lt;/b&gt; "&amp;C16&amp;"&lt;/div&gt;&lt;div&gt;&lt;b&gt;Latitude:&lt;/b&gt; "&amp;TEXT(D16,"0.0000000")&amp;"&lt;/div&gt;&lt;div&gt;&lt;b&gt;Longitude:&lt;/b&gt; "&amp;TEXT(E16,"0.0000000")&amp;"&lt;/div&gt;&lt;/div&gt;")</x:f>
      </x:c>
    </x:row>
    <x:row r="17">
      <x:c r="A17" s="24"/>
      <x:c r="B17" s="24"/>
      <x:c r="C17" s="24"/>
      <x:c r="D17" s="36"/>
      <x:c r="E17" s="36"/>
      <x:c r="F17" s="24"/>
      <x:c r="G17" s="24" t="str">
        <x:f>IF(D17="","",AND(ISNUMBER(D17),D17&gt;=-90,D17&lt;=90))</x:f>
      </x:c>
      <x:c r="H17" s="24" t="str">
        <x:f>IF(E17="","",AND(ISNUMBER(E17),E17&gt;=-180,E17&lt;=180))</x:f>
      </x:c>
      <x:c r="I17" s="24" t="str">
        <x:f>IF(F17="","",COUNTIF(Status_Config!$B$2:$B$50,F17)&gt;0)</x:f>
      </x:c>
      <x:c r="J17" s="24" t="str">
        <x:f>IF(OR(D17="",E17=""),"",TEXT(D17,"0.0000000")&amp;","&amp;TEXT(E17,"0.0000000"))</x:f>
      </x:c>
      <x:c r="K17" s="24" t="str">
        <x:f>IF(F17="","",IF(F17="Construction","#D73027",IF(F17="Completed","#1A9850",IF(F17="Approval","#4575B4",""))))</x:f>
      </x:c>
      <x:c r="L17" s="24" t="str">
        <x:f>IF(A17="","",A17)</x:f>
      </x:c>
      <x:c r="M17" s="24" t="str">
        <x:f>IF(A17="","","&lt;div style='font-family:Arial,sans-serif;min-width:240px'&gt;&lt;h3 style='margin:0 0 8px 0'&gt;"&amp;A17&amp;" — "&amp;B17&amp;"&lt;/h3&gt;&lt;div&gt;&lt;b&gt;Status:&lt;/b&gt; "&amp;F17&amp;"&lt;/div&gt;&lt;div&gt;&lt;b&gt;Contractor:&lt;/b&gt; "&amp;C17&amp;"&lt;/div&gt;&lt;div&gt;&lt;b&gt;Latitude:&lt;/b&gt; "&amp;TEXT(D17,"0.0000000")&amp;"&lt;/div&gt;&lt;div&gt;&lt;b&gt;Longitude:&lt;/b&gt; "&amp;TEXT(E17,"0.0000000")&amp;"&lt;/div&gt;&lt;/div&gt;")</x:f>
      </x:c>
    </x:row>
    <x:row r="18">
      <x:c r="A18" s="24"/>
      <x:c r="B18" s="24"/>
      <x:c r="C18" s="24"/>
      <x:c r="D18" s="36"/>
      <x:c r="E18" s="36"/>
      <x:c r="F18" s="24"/>
      <x:c r="G18" s="24" t="str">
        <x:f>IF(D18="","",AND(ISNUMBER(D18),D18&gt;=-90,D18&lt;=90))</x:f>
      </x:c>
      <x:c r="H18" s="24" t="str">
        <x:f>IF(E18="","",AND(ISNUMBER(E18),E18&gt;=-180,E18&lt;=180))</x:f>
      </x:c>
      <x:c r="I18" s="24" t="str">
        <x:f>IF(F18="","",COUNTIF(Status_Config!$B$2:$B$50,F18)&gt;0)</x:f>
      </x:c>
      <x:c r="J18" s="24" t="str">
        <x:f>IF(OR(D18="",E18=""),"",TEXT(D18,"0.0000000")&amp;","&amp;TEXT(E18,"0.0000000"))</x:f>
      </x:c>
      <x:c r="K18" s="24" t="str">
        <x:f>IF(F18="","",IF(F18="Construction","#D73027",IF(F18="Completed","#1A9850",IF(F18="Approval","#4575B4",""))))</x:f>
      </x:c>
      <x:c r="L18" s="24" t="str">
        <x:f>IF(A18="","",A18)</x:f>
      </x:c>
      <x:c r="M18" s="24" t="str">
        <x:f>IF(A18="","","&lt;div style='font-family:Arial,sans-serif;min-width:240px'&gt;&lt;h3 style='margin:0 0 8px 0'&gt;"&amp;A18&amp;" — "&amp;B18&amp;"&lt;/h3&gt;&lt;div&gt;&lt;b&gt;Status:&lt;/b&gt; "&amp;F18&amp;"&lt;/div&gt;&lt;div&gt;&lt;b&gt;Contractor:&lt;/b&gt; "&amp;C18&amp;"&lt;/div&gt;&lt;div&gt;&lt;b&gt;Latitude:&lt;/b&gt; "&amp;TEXT(D18,"0.0000000")&amp;"&lt;/div&gt;&lt;div&gt;&lt;b&gt;Longitude:&lt;/b&gt; "&amp;TEXT(E18,"0.0000000")&amp;"&lt;/div&gt;&lt;/div&gt;")</x:f>
      </x:c>
    </x:row>
    <x:row r="19">
      <x:c r="A19" s="24"/>
      <x:c r="B19" s="24"/>
      <x:c r="C19" s="24"/>
      <x:c r="D19" s="36"/>
      <x:c r="E19" s="36"/>
      <x:c r="F19" s="24"/>
      <x:c r="G19" s="24" t="str">
        <x:f>IF(D19="","",AND(ISNUMBER(D19),D19&gt;=-90,D19&lt;=90))</x:f>
      </x:c>
      <x:c r="H19" s="24" t="str">
        <x:f>IF(E19="","",AND(ISNUMBER(E19),E19&gt;=-180,E19&lt;=180))</x:f>
      </x:c>
      <x:c r="I19" s="24" t="str">
        <x:f>IF(F19="","",COUNTIF(Status_Config!$B$2:$B$50,F19)&gt;0)</x:f>
      </x:c>
      <x:c r="J19" s="24" t="str">
        <x:f>IF(OR(D19="",E19=""),"",TEXT(D19,"0.0000000")&amp;","&amp;TEXT(E19,"0.0000000"))</x:f>
      </x:c>
      <x:c r="K19" s="24" t="str">
        <x:f>IF(F19="","",IF(F19="Construction","#D73027",IF(F19="Completed","#1A9850",IF(F19="Approval","#4575B4",""))))</x:f>
      </x:c>
      <x:c r="L19" s="24" t="str">
        <x:f>IF(A19="","",A19)</x:f>
      </x:c>
      <x:c r="M19" s="24" t="str">
        <x:f>IF(A19="","","&lt;div style='font-family:Arial,sans-serif;min-width:240px'&gt;&lt;h3 style='margin:0 0 8px 0'&gt;"&amp;A19&amp;" — "&amp;B19&amp;"&lt;/h3&gt;&lt;div&gt;&lt;b&gt;Status:&lt;/b&gt; "&amp;F19&amp;"&lt;/div&gt;&lt;div&gt;&lt;b&gt;Contractor:&lt;/b&gt; "&amp;C19&amp;"&lt;/div&gt;&lt;div&gt;&lt;b&gt;Latitude:&lt;/b&gt; "&amp;TEXT(D19,"0.0000000")&amp;"&lt;/div&gt;&lt;div&gt;&lt;b&gt;Longitude:&lt;/b&gt; "&amp;TEXT(E19,"0.0000000")&amp;"&lt;/div&gt;&lt;/div&gt;")</x:f>
      </x:c>
    </x:row>
    <x:row r="20">
      <x:c r="A20" s="24"/>
      <x:c r="B20" s="24"/>
      <x:c r="C20" s="24"/>
      <x:c r="D20" s="36"/>
      <x:c r="E20" s="36"/>
      <x:c r="F20" s="24"/>
      <x:c r="G20" s="24" t="str">
        <x:f>IF(D20="","",AND(ISNUMBER(D20),D20&gt;=-90,D20&lt;=90))</x:f>
      </x:c>
      <x:c r="H20" s="24" t="str">
        <x:f>IF(E20="","",AND(ISNUMBER(E20),E20&gt;=-180,E20&lt;=180))</x:f>
      </x:c>
      <x:c r="I20" s="24" t="str">
        <x:f>IF(F20="","",COUNTIF(Status_Config!$B$2:$B$50,F20)&gt;0)</x:f>
      </x:c>
      <x:c r="J20" s="24" t="str">
        <x:f>IF(OR(D20="",E20=""),"",TEXT(D20,"0.0000000")&amp;","&amp;TEXT(E20,"0.0000000"))</x:f>
      </x:c>
      <x:c r="K20" s="24" t="str">
        <x:f>IF(F20="","",IF(F20="Construction","#D73027",IF(F20="Completed","#1A9850",IF(F20="Approval","#4575B4",""))))</x:f>
      </x:c>
      <x:c r="L20" s="24" t="str">
        <x:f>IF(A20="","",A20)</x:f>
      </x:c>
      <x:c r="M20" s="24" t="str">
        <x:f>IF(A20="","","&lt;div style='font-family:Arial,sans-serif;min-width:240px'&gt;&lt;h3 style='margin:0 0 8px 0'&gt;"&amp;A20&amp;" — "&amp;B20&amp;"&lt;/h3&gt;&lt;div&gt;&lt;b&gt;Status:&lt;/b&gt; "&amp;F20&amp;"&lt;/div&gt;&lt;div&gt;&lt;b&gt;Contractor:&lt;/b&gt; "&amp;C20&amp;"&lt;/div&gt;&lt;div&gt;&lt;b&gt;Latitude:&lt;/b&gt; "&amp;TEXT(D20,"0.0000000")&amp;"&lt;/div&gt;&lt;div&gt;&lt;b&gt;Longitude:&lt;/b&gt; "&amp;TEXT(E20,"0.0000000")&amp;"&lt;/div&gt;&lt;/div&gt;")</x:f>
      </x:c>
    </x:row>
    <x:row r="21">
      <x:c r="A21" s="24"/>
      <x:c r="B21" s="24"/>
      <x:c r="C21" s="24"/>
      <x:c r="D21" s="36"/>
      <x:c r="E21" s="36"/>
      <x:c r="F21" s="24"/>
      <x:c r="G21" s="24" t="str">
        <x:f>IF(D21="","",AND(ISNUMBER(D21),D21&gt;=-90,D21&lt;=90))</x:f>
      </x:c>
      <x:c r="H21" s="24" t="str">
        <x:f>IF(E21="","",AND(ISNUMBER(E21),E21&gt;=-180,E21&lt;=180))</x:f>
      </x:c>
      <x:c r="I21" s="24" t="str">
        <x:f>IF(F21="","",COUNTIF(Status_Config!$B$2:$B$50,F21)&gt;0)</x:f>
      </x:c>
      <x:c r="J21" s="24" t="str">
        <x:f>IF(OR(D21="",E21=""),"",TEXT(D21,"0.0000000")&amp;","&amp;TEXT(E21,"0.0000000"))</x:f>
      </x:c>
      <x:c r="K21" s="24" t="str">
        <x:f>IF(F21="","",IF(F21="Construction","#D73027",IF(F21="Completed","#1A9850",IF(F21="Approval","#4575B4",""))))</x:f>
      </x:c>
      <x:c r="L21" s="24" t="str">
        <x:f>IF(A21="","",A21)</x:f>
      </x:c>
      <x:c r="M21" s="24" t="str">
        <x:f>IF(A21="","","&lt;div style='font-family:Arial,sans-serif;min-width:240px'&gt;&lt;h3 style='margin:0 0 8px 0'&gt;"&amp;A21&amp;" — "&amp;B21&amp;"&lt;/h3&gt;&lt;div&gt;&lt;b&gt;Status:&lt;/b&gt; "&amp;F21&amp;"&lt;/div&gt;&lt;div&gt;&lt;b&gt;Contractor:&lt;/b&gt; "&amp;C21&amp;"&lt;/div&gt;&lt;div&gt;&lt;b&gt;Latitude:&lt;/b&gt; "&amp;TEXT(D21,"0.0000000")&amp;"&lt;/div&gt;&lt;div&gt;&lt;b&gt;Longitude:&lt;/b&gt; "&amp;TEXT(E21,"0.0000000")&amp;"&lt;/div&gt;&lt;/div&gt;")</x:f>
      </x:c>
    </x:row>
    <x:row r="22">
      <x:c r="A22" s="24"/>
      <x:c r="B22" s="24"/>
      <x:c r="C22" s="24"/>
      <x:c r="D22" s="36"/>
      <x:c r="E22" s="36"/>
      <x:c r="F22" s="24"/>
      <x:c r="G22" s="24" t="str">
        <x:f>IF(D22="","",AND(ISNUMBER(D22),D22&gt;=-90,D22&lt;=90))</x:f>
      </x:c>
      <x:c r="H22" s="24" t="str">
        <x:f>IF(E22="","",AND(ISNUMBER(E22),E22&gt;=-180,E22&lt;=180))</x:f>
      </x:c>
      <x:c r="I22" s="24" t="str">
        <x:f>IF(F22="","",COUNTIF(Status_Config!$B$2:$B$50,F22)&gt;0)</x:f>
      </x:c>
      <x:c r="J22" s="24" t="str">
        <x:f>IF(OR(D22="",E22=""),"",TEXT(D22,"0.0000000")&amp;","&amp;TEXT(E22,"0.0000000"))</x:f>
      </x:c>
      <x:c r="K22" s="24" t="str">
        <x:f>IF(F22="","",IF(F22="Construction","#D73027",IF(F22="Completed","#1A9850",IF(F22="Approval","#4575B4",""))))</x:f>
      </x:c>
      <x:c r="L22" s="24" t="str">
        <x:f>IF(A22="","",A22)</x:f>
      </x:c>
      <x:c r="M22" s="24" t="str">
        <x:f>IF(A22="","","&lt;div style='font-family:Arial,sans-serif;min-width:240px'&gt;&lt;h3 style='margin:0 0 8px 0'&gt;"&amp;A22&amp;" — "&amp;B22&amp;"&lt;/h3&gt;&lt;div&gt;&lt;b&gt;Status:&lt;/b&gt; "&amp;F22&amp;"&lt;/div&gt;&lt;div&gt;&lt;b&gt;Contractor:&lt;/b&gt; "&amp;C22&amp;"&lt;/div&gt;&lt;div&gt;&lt;b&gt;Latitude:&lt;/b&gt; "&amp;TEXT(D22,"0.0000000")&amp;"&lt;/div&gt;&lt;div&gt;&lt;b&gt;Longitude:&lt;/b&gt; "&amp;TEXT(E22,"0.0000000")&amp;"&lt;/div&gt;&lt;/div&gt;")</x:f>
      </x:c>
    </x:row>
    <x:row r="23">
      <x:c r="A23" s="24"/>
      <x:c r="B23" s="24"/>
      <x:c r="C23" s="24"/>
      <x:c r="D23" s="36"/>
      <x:c r="E23" s="36"/>
      <x:c r="F23" s="24"/>
      <x:c r="G23" s="24" t="str">
        <x:f>IF(D23="","",AND(ISNUMBER(D23),D23&gt;=-90,D23&lt;=90))</x:f>
      </x:c>
      <x:c r="H23" s="24" t="str">
        <x:f>IF(E23="","",AND(ISNUMBER(E23),E23&gt;=-180,E23&lt;=180))</x:f>
      </x:c>
      <x:c r="I23" s="24" t="str">
        <x:f>IF(F23="","",COUNTIF(Status_Config!$B$2:$B$50,F23)&gt;0)</x:f>
      </x:c>
      <x:c r="J23" s="24" t="str">
        <x:f>IF(OR(D23="",E23=""),"",TEXT(D23,"0.0000000")&amp;","&amp;TEXT(E23,"0.0000000"))</x:f>
      </x:c>
      <x:c r="K23" s="24" t="str">
        <x:f>IF(F23="","",IF(F23="Construction","#D73027",IF(F23="Completed","#1A9850",IF(F23="Approval","#4575B4",""))))</x:f>
      </x:c>
      <x:c r="L23" s="24" t="str">
        <x:f>IF(A23="","",A23)</x:f>
      </x:c>
      <x:c r="M23" s="24" t="str">
        <x:f>IF(A23="","","&lt;div style='font-family:Arial,sans-serif;min-width:240px'&gt;&lt;h3 style='margin:0 0 8px 0'&gt;"&amp;A23&amp;" — "&amp;B23&amp;"&lt;/h3&gt;&lt;div&gt;&lt;b&gt;Status:&lt;/b&gt; "&amp;F23&amp;"&lt;/div&gt;&lt;div&gt;&lt;b&gt;Contractor:&lt;/b&gt; "&amp;C23&amp;"&lt;/div&gt;&lt;div&gt;&lt;b&gt;Latitude:&lt;/b&gt; "&amp;TEXT(D23,"0.0000000")&amp;"&lt;/div&gt;&lt;div&gt;&lt;b&gt;Longitude:&lt;/b&gt; "&amp;TEXT(E23,"0.0000000")&amp;"&lt;/div&gt;&lt;/div&gt;")</x:f>
      </x:c>
    </x:row>
    <x:row r="24">
      <x:c r="A24" s="24"/>
      <x:c r="B24" s="24"/>
      <x:c r="C24" s="24"/>
      <x:c r="D24" s="36"/>
      <x:c r="E24" s="36"/>
      <x:c r="F24" s="24"/>
      <x:c r="G24" s="24" t="str">
        <x:f>IF(D24="","",AND(ISNUMBER(D24),D24&gt;=-90,D24&lt;=90))</x:f>
      </x:c>
      <x:c r="H24" s="24" t="str">
        <x:f>IF(E24="","",AND(ISNUMBER(E24),E24&gt;=-180,E24&lt;=180))</x:f>
      </x:c>
      <x:c r="I24" s="24" t="str">
        <x:f>IF(F24="","",COUNTIF(Status_Config!$B$2:$B$50,F24)&gt;0)</x:f>
      </x:c>
      <x:c r="J24" s="24" t="str">
        <x:f>IF(OR(D24="",E24=""),"",TEXT(D24,"0.0000000")&amp;","&amp;TEXT(E24,"0.0000000"))</x:f>
      </x:c>
      <x:c r="K24" s="24" t="str">
        <x:f>IF(F24="","",IF(F24="Construction","#D73027",IF(F24="Completed","#1A9850",IF(F24="Approval","#4575B4",""))))</x:f>
      </x:c>
      <x:c r="L24" s="24" t="str">
        <x:f>IF(A24="","",A24)</x:f>
      </x:c>
      <x:c r="M24" s="24" t="str">
        <x:f>IF(A24="","","&lt;div style='font-family:Arial,sans-serif;min-width:240px'&gt;&lt;h3 style='margin:0 0 8px 0'&gt;"&amp;A24&amp;" — "&amp;B24&amp;"&lt;/h3&gt;&lt;div&gt;&lt;b&gt;Status:&lt;/b&gt; "&amp;F24&amp;"&lt;/div&gt;&lt;div&gt;&lt;b&gt;Contractor:&lt;/b&gt; "&amp;C24&amp;"&lt;/div&gt;&lt;div&gt;&lt;b&gt;Latitude:&lt;/b&gt; "&amp;TEXT(D24,"0.0000000")&amp;"&lt;/div&gt;&lt;div&gt;&lt;b&gt;Longitude:&lt;/b&gt; "&amp;TEXT(E24,"0.0000000")&amp;"&lt;/div&gt;&lt;/div&gt;")</x:f>
      </x:c>
    </x:row>
    <x:row r="25">
      <x:c r="A25" s="24"/>
      <x:c r="B25" s="24"/>
      <x:c r="C25" s="24"/>
      <x:c r="D25" s="36"/>
      <x:c r="E25" s="36"/>
      <x:c r="F25" s="24"/>
      <x:c r="G25" s="24" t="str">
        <x:f>IF(D25="","",AND(ISNUMBER(D25),D25&gt;=-90,D25&lt;=90))</x:f>
      </x:c>
      <x:c r="H25" s="24" t="str">
        <x:f>IF(E25="","",AND(ISNUMBER(E25),E25&gt;=-180,E25&lt;=180))</x:f>
      </x:c>
      <x:c r="I25" s="24" t="str">
        <x:f>IF(F25="","",COUNTIF(Status_Config!$B$2:$B$50,F25)&gt;0)</x:f>
      </x:c>
      <x:c r="J25" s="24" t="str">
        <x:f>IF(OR(D25="",E25=""),"",TEXT(D25,"0.0000000")&amp;","&amp;TEXT(E25,"0.0000000"))</x:f>
      </x:c>
      <x:c r="K25" s="24" t="str">
        <x:f>IF(F25="","",IF(F25="Construction","#D73027",IF(F25="Completed","#1A9850",IF(F25="Approval","#4575B4",""))))</x:f>
      </x:c>
      <x:c r="L25" s="24" t="str">
        <x:f>IF(A25="","",A25)</x:f>
      </x:c>
      <x:c r="M25" s="24" t="str">
        <x:f>IF(A25="","","&lt;div style='font-family:Arial,sans-serif;min-width:240px'&gt;&lt;h3 style='margin:0 0 8px 0'&gt;"&amp;A25&amp;" — "&amp;B25&amp;"&lt;/h3&gt;&lt;div&gt;&lt;b&gt;Status:&lt;/b&gt; "&amp;F25&amp;"&lt;/div&gt;&lt;div&gt;&lt;b&gt;Contractor:&lt;/b&gt; "&amp;C25&amp;"&lt;/div&gt;&lt;div&gt;&lt;b&gt;Latitude:&lt;/b&gt; "&amp;TEXT(D25,"0.0000000")&amp;"&lt;/div&gt;&lt;div&gt;&lt;b&gt;Longitude:&lt;/b&gt; "&amp;TEXT(E25,"0.0000000")&amp;"&lt;/div&gt;&lt;/div&gt;")</x:f>
      </x:c>
    </x:row>
    <x:row r="26">
      <x:c r="A26" s="24"/>
      <x:c r="B26" s="24"/>
      <x:c r="C26" s="24"/>
      <x:c r="D26" s="36"/>
      <x:c r="E26" s="36"/>
      <x:c r="F26" s="24"/>
      <x:c r="G26" s="24" t="str">
        <x:f>IF(D26="","",AND(ISNUMBER(D26),D26&gt;=-90,D26&lt;=90))</x:f>
      </x:c>
      <x:c r="H26" s="24" t="str">
        <x:f>IF(E26="","",AND(ISNUMBER(E26),E26&gt;=-180,E26&lt;=180))</x:f>
      </x:c>
      <x:c r="I26" s="24" t="str">
        <x:f>IF(F26="","",COUNTIF(Status_Config!$B$2:$B$50,F26)&gt;0)</x:f>
      </x:c>
      <x:c r="J26" s="24" t="str">
        <x:f>IF(OR(D26="",E26=""),"",TEXT(D26,"0.0000000")&amp;","&amp;TEXT(E26,"0.0000000"))</x:f>
      </x:c>
      <x:c r="K26" s="24" t="str">
        <x:f>IF(F26="","",IF(F26="Construction","#D73027",IF(F26="Completed","#1A9850",IF(F26="Approval","#4575B4",""))))</x:f>
      </x:c>
      <x:c r="L26" s="24" t="str">
        <x:f>IF(A26="","",A26)</x:f>
      </x:c>
      <x:c r="M26" s="24" t="str">
        <x:f>IF(A26="","","&lt;div style='font-family:Arial,sans-serif;min-width:240px'&gt;&lt;h3 style='margin:0 0 8px 0'&gt;"&amp;A26&amp;" — "&amp;B26&amp;"&lt;/h3&gt;&lt;div&gt;&lt;b&gt;Status:&lt;/b&gt; "&amp;F26&amp;"&lt;/div&gt;&lt;div&gt;&lt;b&gt;Contractor:&lt;/b&gt; "&amp;C26&amp;"&lt;/div&gt;&lt;div&gt;&lt;b&gt;Latitude:&lt;/b&gt; "&amp;TEXT(D26,"0.0000000")&amp;"&lt;/div&gt;&lt;div&gt;&lt;b&gt;Longitude:&lt;/b&gt; "&amp;TEXT(E26,"0.0000000")&amp;"&lt;/div&gt;&lt;/div&gt;")</x:f>
      </x:c>
    </x:row>
    <x:row r="27">
      <x:c r="A27" s="24"/>
      <x:c r="B27" s="24"/>
      <x:c r="C27" s="24"/>
      <x:c r="D27" s="36"/>
      <x:c r="E27" s="36"/>
      <x:c r="F27" s="24"/>
      <x:c r="G27" s="24" t="str">
        <x:f>IF(D27="","",AND(ISNUMBER(D27),D27&gt;=-90,D27&lt;=90))</x:f>
      </x:c>
      <x:c r="H27" s="24" t="str">
        <x:f>IF(E27="","",AND(ISNUMBER(E27),E27&gt;=-180,E27&lt;=180))</x:f>
      </x:c>
      <x:c r="I27" s="24" t="str">
        <x:f>IF(F27="","",COUNTIF(Status_Config!$B$2:$B$50,F27)&gt;0)</x:f>
      </x:c>
      <x:c r="J27" s="24" t="str">
        <x:f>IF(OR(D27="",E27=""),"",TEXT(D27,"0.0000000")&amp;","&amp;TEXT(E27,"0.0000000"))</x:f>
      </x:c>
      <x:c r="K27" s="24" t="str">
        <x:f>IF(F27="","",IF(F27="Construction","#D73027",IF(F27="Completed","#1A9850",IF(F27="Approval","#4575B4",""))))</x:f>
      </x:c>
      <x:c r="L27" s="24" t="str">
        <x:f>IF(A27="","",A27)</x:f>
      </x:c>
      <x:c r="M27" s="24" t="str">
        <x:f>IF(A27="","","&lt;div style='font-family:Arial,sans-serif;min-width:240px'&gt;&lt;h3 style='margin:0 0 8px 0'&gt;"&amp;A27&amp;" — "&amp;B27&amp;"&lt;/h3&gt;&lt;div&gt;&lt;b&gt;Status:&lt;/b&gt; "&amp;F27&amp;"&lt;/div&gt;&lt;div&gt;&lt;b&gt;Contractor:&lt;/b&gt; "&amp;C27&amp;"&lt;/div&gt;&lt;div&gt;&lt;b&gt;Latitude:&lt;/b&gt; "&amp;TEXT(D27,"0.0000000")&amp;"&lt;/div&gt;&lt;div&gt;&lt;b&gt;Longitude:&lt;/b&gt; "&amp;TEXT(E27,"0.0000000")&amp;"&lt;/div&gt;&lt;/div&gt;")</x:f>
      </x:c>
    </x:row>
    <x:row r="28">
      <x:c r="A28" s="24"/>
      <x:c r="B28" s="24"/>
      <x:c r="C28" s="24"/>
      <x:c r="D28" s="36"/>
      <x:c r="E28" s="36"/>
      <x:c r="F28" s="24"/>
      <x:c r="G28" s="24" t="str">
        <x:f>IF(D28="","",AND(ISNUMBER(D28),D28&gt;=-90,D28&lt;=90))</x:f>
      </x:c>
      <x:c r="H28" s="24" t="str">
        <x:f>IF(E28="","",AND(ISNUMBER(E28),E28&gt;=-180,E28&lt;=180))</x:f>
      </x:c>
      <x:c r="I28" s="24" t="str">
        <x:f>IF(F28="","",COUNTIF(Status_Config!$B$2:$B$50,F28)&gt;0)</x:f>
      </x:c>
      <x:c r="J28" s="24" t="str">
        <x:f>IF(OR(D28="",E28=""),"",TEXT(D28,"0.0000000")&amp;","&amp;TEXT(E28,"0.0000000"))</x:f>
      </x:c>
      <x:c r="K28" s="24" t="str">
        <x:f>IF(F28="","",IF(F28="Construction","#D73027",IF(F28="Completed","#1A9850",IF(F28="Approval","#4575B4",""))))</x:f>
      </x:c>
      <x:c r="L28" s="24" t="str">
        <x:f>IF(A28="","",A28)</x:f>
      </x:c>
      <x:c r="M28" s="24" t="str">
        <x:f>IF(A28="","","&lt;div style='font-family:Arial,sans-serif;min-width:240px'&gt;&lt;h3 style='margin:0 0 8px 0'&gt;"&amp;A28&amp;" — "&amp;B28&amp;"&lt;/h3&gt;&lt;div&gt;&lt;b&gt;Status:&lt;/b&gt; "&amp;F28&amp;"&lt;/div&gt;&lt;div&gt;&lt;b&gt;Contractor:&lt;/b&gt; "&amp;C28&amp;"&lt;/div&gt;&lt;div&gt;&lt;b&gt;Latitude:&lt;/b&gt; "&amp;TEXT(D28,"0.0000000")&amp;"&lt;/div&gt;&lt;div&gt;&lt;b&gt;Longitude:&lt;/b&gt; "&amp;TEXT(E28,"0.0000000")&amp;"&lt;/div&gt;&lt;/div&gt;")</x:f>
      </x:c>
    </x:row>
    <x:row r="29">
      <x:c r="A29" s="24"/>
      <x:c r="B29" s="24"/>
      <x:c r="C29" s="24"/>
      <x:c r="D29" s="36"/>
      <x:c r="E29" s="36"/>
      <x:c r="F29" s="24"/>
      <x:c r="G29" s="24" t="str">
        <x:f>IF(D29="","",AND(ISNUMBER(D29),D29&gt;=-90,D29&lt;=90))</x:f>
      </x:c>
      <x:c r="H29" s="24" t="str">
        <x:f>IF(E29="","",AND(ISNUMBER(E29),E29&gt;=-180,E29&lt;=180))</x:f>
      </x:c>
      <x:c r="I29" s="24" t="str">
        <x:f>IF(F29="","",COUNTIF(Status_Config!$B$2:$B$50,F29)&gt;0)</x:f>
      </x:c>
      <x:c r="J29" s="24" t="str">
        <x:f>IF(OR(D29="",E29=""),"",TEXT(D29,"0.0000000")&amp;","&amp;TEXT(E29,"0.0000000"))</x:f>
      </x:c>
      <x:c r="K29" s="24" t="str">
        <x:f>IF(F29="","",IF(F29="Construction","#D73027",IF(F29="Completed","#1A9850",IF(F29="Approval","#4575B4",""))))</x:f>
      </x:c>
      <x:c r="L29" s="24" t="str">
        <x:f>IF(A29="","",A29)</x:f>
      </x:c>
      <x:c r="M29" s="24" t="str">
        <x:f>IF(A29="","","&lt;div style='font-family:Arial,sans-serif;min-width:240px'&gt;&lt;h3 style='margin:0 0 8px 0'&gt;"&amp;A29&amp;" — "&amp;B29&amp;"&lt;/h3&gt;&lt;div&gt;&lt;b&gt;Status:&lt;/b&gt; "&amp;F29&amp;"&lt;/div&gt;&lt;div&gt;&lt;b&gt;Contractor:&lt;/b&gt; "&amp;C29&amp;"&lt;/div&gt;&lt;div&gt;&lt;b&gt;Latitude:&lt;/b&gt; "&amp;TEXT(D29,"0.0000000")&amp;"&lt;/div&gt;&lt;div&gt;&lt;b&gt;Longitude:&lt;/b&gt; "&amp;TEXT(E29,"0.0000000")&amp;"&lt;/div&gt;&lt;/div&gt;")</x:f>
      </x:c>
    </x:row>
    <x:row r="30">
      <x:c r="A30" s="24"/>
      <x:c r="B30" s="24"/>
      <x:c r="C30" s="24"/>
      <x:c r="D30" s="36"/>
      <x:c r="E30" s="36"/>
      <x:c r="F30" s="24"/>
      <x:c r="G30" s="24" t="str">
        <x:f>IF(D30="","",AND(ISNUMBER(D30),D30&gt;=-90,D30&lt;=90))</x:f>
      </x:c>
      <x:c r="H30" s="24" t="str">
        <x:f>IF(E30="","",AND(ISNUMBER(E30),E30&gt;=-180,E30&lt;=180))</x:f>
      </x:c>
      <x:c r="I30" s="24" t="str">
        <x:f>IF(F30="","",COUNTIF(Status_Config!$B$2:$B$50,F30)&gt;0)</x:f>
      </x:c>
      <x:c r="J30" s="24" t="str">
        <x:f>IF(OR(D30="",E30=""),"",TEXT(D30,"0.0000000")&amp;","&amp;TEXT(E30,"0.0000000"))</x:f>
      </x:c>
      <x:c r="K30" s="24" t="str">
        <x:f>IF(F30="","",IF(F30="Construction","#D73027",IF(F30="Completed","#1A9850",IF(F30="Approval","#4575B4",""))))</x:f>
      </x:c>
      <x:c r="L30" s="24" t="str">
        <x:f>IF(A30="","",A30)</x:f>
      </x:c>
      <x:c r="M30" s="24" t="str">
        <x:f>IF(A30="","","&lt;div style='font-family:Arial,sans-serif;min-width:240px'&gt;&lt;h3 style='margin:0 0 8px 0'&gt;"&amp;A30&amp;" — "&amp;B30&amp;"&lt;/h3&gt;&lt;div&gt;&lt;b&gt;Status:&lt;/b&gt; "&amp;F30&amp;"&lt;/div&gt;&lt;div&gt;&lt;b&gt;Contractor:&lt;/b&gt; "&amp;C30&amp;"&lt;/div&gt;&lt;div&gt;&lt;b&gt;Latitude:&lt;/b&gt; "&amp;TEXT(D30,"0.0000000")&amp;"&lt;/div&gt;&lt;div&gt;&lt;b&gt;Longitude:&lt;/b&gt; "&amp;TEXT(E30,"0.0000000")&amp;"&lt;/div&gt;&lt;/div&gt;")</x:f>
      </x:c>
    </x:row>
    <x:row r="31">
      <x:c r="A31" s="24"/>
      <x:c r="B31" s="24"/>
      <x:c r="C31" s="24"/>
      <x:c r="D31" s="36"/>
      <x:c r="E31" s="36"/>
      <x:c r="F31" s="24"/>
      <x:c r="G31" s="24" t="str">
        <x:f>IF(D31="","",AND(ISNUMBER(D31),D31&gt;=-90,D31&lt;=90))</x:f>
      </x:c>
      <x:c r="H31" s="24" t="str">
        <x:f>IF(E31="","",AND(ISNUMBER(E31),E31&gt;=-180,E31&lt;=180))</x:f>
      </x:c>
      <x:c r="I31" s="24" t="str">
        <x:f>IF(F31="","",COUNTIF(Status_Config!$B$2:$B$50,F31)&gt;0)</x:f>
      </x:c>
      <x:c r="J31" s="24" t="str">
        <x:f>IF(OR(D31="",E31=""),"",TEXT(D31,"0.0000000")&amp;","&amp;TEXT(E31,"0.0000000"))</x:f>
      </x:c>
      <x:c r="K31" s="24" t="str">
        <x:f>IF(F31="","",IF(F31="Construction","#D73027",IF(F31="Completed","#1A9850",IF(F31="Approval","#4575B4",""))))</x:f>
      </x:c>
      <x:c r="L31" s="24" t="str">
        <x:f>IF(A31="","",A31)</x:f>
      </x:c>
      <x:c r="M31" s="24" t="str">
        <x:f>IF(A31="","","&lt;div style='font-family:Arial,sans-serif;min-width:240px'&gt;&lt;h3 style='margin:0 0 8px 0'&gt;"&amp;A31&amp;" — "&amp;B31&amp;"&lt;/h3&gt;&lt;div&gt;&lt;b&gt;Status:&lt;/b&gt; "&amp;F31&amp;"&lt;/div&gt;&lt;div&gt;&lt;b&gt;Contractor:&lt;/b&gt; "&amp;C31&amp;"&lt;/div&gt;&lt;div&gt;&lt;b&gt;Latitude:&lt;/b&gt; "&amp;TEXT(D31,"0.0000000")&amp;"&lt;/div&gt;&lt;div&gt;&lt;b&gt;Longitude:&lt;/b&gt; "&amp;TEXT(E31,"0.0000000")&amp;"&lt;/div&gt;&lt;/div&gt;")</x:f>
      </x:c>
    </x:row>
    <x:row r="32">
      <x:c r="A32" s="24"/>
      <x:c r="B32" s="24"/>
      <x:c r="C32" s="24"/>
      <x:c r="D32" s="36"/>
      <x:c r="E32" s="36"/>
      <x:c r="F32" s="24"/>
      <x:c r="G32" s="24" t="str">
        <x:f>IF(D32="","",AND(ISNUMBER(D32),D32&gt;=-90,D32&lt;=90))</x:f>
      </x:c>
      <x:c r="H32" s="24" t="str">
        <x:f>IF(E32="","",AND(ISNUMBER(E32),E32&gt;=-180,E32&lt;=180))</x:f>
      </x:c>
      <x:c r="I32" s="24" t="str">
        <x:f>IF(F32="","",COUNTIF(Status_Config!$B$2:$B$50,F32)&gt;0)</x:f>
      </x:c>
      <x:c r="J32" s="24" t="str">
        <x:f>IF(OR(D32="",E32=""),"",TEXT(D32,"0.0000000")&amp;","&amp;TEXT(E32,"0.0000000"))</x:f>
      </x:c>
      <x:c r="K32" s="24" t="str">
        <x:f>IF(F32="","",IF(F32="Construction","#D73027",IF(F32="Completed","#1A9850",IF(F32="Approval","#4575B4",""))))</x:f>
      </x:c>
      <x:c r="L32" s="24" t="str">
        <x:f>IF(A32="","",A32)</x:f>
      </x:c>
      <x:c r="M32" s="24" t="str">
        <x:f>IF(A32="","","&lt;div style='font-family:Arial,sans-serif;min-width:240px'&gt;&lt;h3 style='margin:0 0 8px 0'&gt;"&amp;A32&amp;" — "&amp;B32&amp;"&lt;/h3&gt;&lt;div&gt;&lt;b&gt;Status:&lt;/b&gt; "&amp;F32&amp;"&lt;/div&gt;&lt;div&gt;&lt;b&gt;Contractor:&lt;/b&gt; "&amp;C32&amp;"&lt;/div&gt;&lt;div&gt;&lt;b&gt;Latitude:&lt;/b&gt; "&amp;TEXT(D32,"0.0000000")&amp;"&lt;/div&gt;&lt;div&gt;&lt;b&gt;Longitude:&lt;/b&gt; "&amp;TEXT(E32,"0.0000000")&amp;"&lt;/div&gt;&lt;/div&gt;")</x:f>
      </x:c>
    </x:row>
    <x:row r="33">
      <x:c r="A33" s="24"/>
      <x:c r="B33" s="24"/>
      <x:c r="C33" s="24"/>
      <x:c r="D33" s="36"/>
      <x:c r="E33" s="36"/>
      <x:c r="F33" s="24"/>
      <x:c r="G33" s="24" t="str">
        <x:f>IF(D33="","",AND(ISNUMBER(D33),D33&gt;=-90,D33&lt;=90))</x:f>
      </x:c>
      <x:c r="H33" s="24" t="str">
        <x:f>IF(E33="","",AND(ISNUMBER(E33),E33&gt;=-180,E33&lt;=180))</x:f>
      </x:c>
      <x:c r="I33" s="24" t="str">
        <x:f>IF(F33="","",COUNTIF(Status_Config!$B$2:$B$50,F33)&gt;0)</x:f>
      </x:c>
      <x:c r="J33" s="24" t="str">
        <x:f>IF(OR(D33="",E33=""),"",TEXT(D33,"0.0000000")&amp;","&amp;TEXT(E33,"0.0000000"))</x:f>
      </x:c>
      <x:c r="K33" s="24" t="str">
        <x:f>IF(F33="","",IF(F33="Construction","#D73027",IF(F33="Completed","#1A9850",IF(F33="Approval","#4575B4",""))))</x:f>
      </x:c>
      <x:c r="L33" s="24" t="str">
        <x:f>IF(A33="","",A33)</x:f>
      </x:c>
      <x:c r="M33" s="24" t="str">
        <x:f>IF(A33="","","&lt;div style='font-family:Arial,sans-serif;min-width:240px'&gt;&lt;h3 style='margin:0 0 8px 0'&gt;"&amp;A33&amp;" — "&amp;B33&amp;"&lt;/h3&gt;&lt;div&gt;&lt;b&gt;Status:&lt;/b&gt; "&amp;F33&amp;"&lt;/div&gt;&lt;div&gt;&lt;b&gt;Contractor:&lt;/b&gt; "&amp;C33&amp;"&lt;/div&gt;&lt;div&gt;&lt;b&gt;Latitude:&lt;/b&gt; "&amp;TEXT(D33,"0.0000000")&amp;"&lt;/div&gt;&lt;div&gt;&lt;b&gt;Longitude:&lt;/b&gt; "&amp;TEXT(E33,"0.0000000")&amp;"&lt;/div&gt;&lt;/div&gt;")</x:f>
      </x:c>
    </x:row>
    <x:row r="34">
      <x:c r="A34" s="24"/>
      <x:c r="B34" s="24"/>
      <x:c r="C34" s="24"/>
      <x:c r="D34" s="36"/>
      <x:c r="E34" s="36"/>
      <x:c r="F34" s="24"/>
      <x:c r="G34" s="24" t="str">
        <x:f>IF(D34="","",AND(ISNUMBER(D34),D34&gt;=-90,D34&lt;=90))</x:f>
      </x:c>
      <x:c r="H34" s="24" t="str">
        <x:f>IF(E34="","",AND(ISNUMBER(E34),E34&gt;=-180,E34&lt;=180))</x:f>
      </x:c>
      <x:c r="I34" s="24" t="str">
        <x:f>IF(F34="","",COUNTIF(Status_Config!$B$2:$B$50,F34)&gt;0)</x:f>
      </x:c>
      <x:c r="J34" s="24" t="str">
        <x:f>IF(OR(D34="",E34=""),"",TEXT(D34,"0.0000000")&amp;","&amp;TEXT(E34,"0.0000000"))</x:f>
      </x:c>
      <x:c r="K34" s="24" t="str">
        <x:f>IF(F34="","",IF(F34="Construction","#D73027",IF(F34="Completed","#1A9850",IF(F34="Approval","#4575B4",""))))</x:f>
      </x:c>
      <x:c r="L34" s="24" t="str">
        <x:f>IF(A34="","",A34)</x:f>
      </x:c>
      <x:c r="M34" s="24" t="str">
        <x:f>IF(A34="","","&lt;div style='font-family:Arial,sans-serif;min-width:240px'&gt;&lt;h3 style='margin:0 0 8px 0'&gt;"&amp;A34&amp;" — "&amp;B34&amp;"&lt;/h3&gt;&lt;div&gt;&lt;b&gt;Status:&lt;/b&gt; "&amp;F34&amp;"&lt;/div&gt;&lt;div&gt;&lt;b&gt;Contractor:&lt;/b&gt; "&amp;C34&amp;"&lt;/div&gt;&lt;div&gt;&lt;b&gt;Latitude:&lt;/b&gt; "&amp;TEXT(D34,"0.0000000")&amp;"&lt;/div&gt;&lt;div&gt;&lt;b&gt;Longitude:&lt;/b&gt; "&amp;TEXT(E34,"0.0000000")&amp;"&lt;/div&gt;&lt;/div&gt;")</x:f>
      </x:c>
    </x:row>
    <x:row r="35">
      <x:c r="A35" s="24"/>
      <x:c r="B35" s="24"/>
      <x:c r="C35" s="24"/>
      <x:c r="D35" s="36"/>
      <x:c r="E35" s="36"/>
      <x:c r="F35" s="24"/>
      <x:c r="G35" s="24" t="str">
        <x:f>IF(D35="","",AND(ISNUMBER(D35),D35&gt;=-90,D35&lt;=90))</x:f>
      </x:c>
      <x:c r="H35" s="24" t="str">
        <x:f>IF(E35="","",AND(ISNUMBER(E35),E35&gt;=-180,E35&lt;=180))</x:f>
      </x:c>
      <x:c r="I35" s="24" t="str">
        <x:f>IF(F35="","",COUNTIF(Status_Config!$B$2:$B$50,F35)&gt;0)</x:f>
      </x:c>
      <x:c r="J35" s="24" t="str">
        <x:f>IF(OR(D35="",E35=""),"",TEXT(D35,"0.0000000")&amp;","&amp;TEXT(E35,"0.0000000"))</x:f>
      </x:c>
      <x:c r="K35" s="24" t="str">
        <x:f>IF(F35="","",IF(F35="Construction","#D73027",IF(F35="Completed","#1A9850",IF(F35="Approval","#4575B4",""))))</x:f>
      </x:c>
      <x:c r="L35" s="24" t="str">
        <x:f>IF(A35="","",A35)</x:f>
      </x:c>
      <x:c r="M35" s="24" t="str">
        <x:f>IF(A35="","","&lt;div style='font-family:Arial,sans-serif;min-width:240px'&gt;&lt;h3 style='margin:0 0 8px 0'&gt;"&amp;A35&amp;" — "&amp;B35&amp;"&lt;/h3&gt;&lt;div&gt;&lt;b&gt;Status:&lt;/b&gt; "&amp;F35&amp;"&lt;/div&gt;&lt;div&gt;&lt;b&gt;Contractor:&lt;/b&gt; "&amp;C35&amp;"&lt;/div&gt;&lt;div&gt;&lt;b&gt;Latitude:&lt;/b&gt; "&amp;TEXT(D35,"0.0000000")&amp;"&lt;/div&gt;&lt;div&gt;&lt;b&gt;Longitude:&lt;/b&gt; "&amp;TEXT(E35,"0.0000000")&amp;"&lt;/div&gt;&lt;/div&gt;")</x:f>
      </x:c>
    </x:row>
    <x:row r="36">
      <x:c r="A36" s="24"/>
      <x:c r="B36" s="24"/>
      <x:c r="C36" s="24"/>
      <x:c r="D36" s="36"/>
      <x:c r="E36" s="36"/>
      <x:c r="F36" s="24"/>
      <x:c r="G36" s="24" t="str">
        <x:f>IF(D36="","",AND(ISNUMBER(D36),D36&gt;=-90,D36&lt;=90))</x:f>
      </x:c>
      <x:c r="H36" s="24" t="str">
        <x:f>IF(E36="","",AND(ISNUMBER(E36),E36&gt;=-180,E36&lt;=180))</x:f>
      </x:c>
      <x:c r="I36" s="24" t="str">
        <x:f>IF(F36="","",COUNTIF(Status_Config!$B$2:$B$50,F36)&gt;0)</x:f>
      </x:c>
      <x:c r="J36" s="24" t="str">
        <x:f>IF(OR(D36="",E36=""),"",TEXT(D36,"0.0000000")&amp;","&amp;TEXT(E36,"0.0000000"))</x:f>
      </x:c>
      <x:c r="K36" s="24" t="str">
        <x:f>IF(F36="","",IF(F36="Construction","#D73027",IF(F36="Completed","#1A9850",IF(F36="Approval","#4575B4",""))))</x:f>
      </x:c>
      <x:c r="L36" s="24" t="str">
        <x:f>IF(A36="","",A36)</x:f>
      </x:c>
      <x:c r="M36" s="24" t="str">
        <x:f>IF(A36="","","&lt;div style='font-family:Arial,sans-serif;min-width:240px'&gt;&lt;h3 style='margin:0 0 8px 0'&gt;"&amp;A36&amp;" — "&amp;B36&amp;"&lt;/h3&gt;&lt;div&gt;&lt;b&gt;Status:&lt;/b&gt; "&amp;F36&amp;"&lt;/div&gt;&lt;div&gt;&lt;b&gt;Contractor:&lt;/b&gt; "&amp;C36&amp;"&lt;/div&gt;&lt;div&gt;&lt;b&gt;Latitude:&lt;/b&gt; "&amp;TEXT(D36,"0.0000000")&amp;"&lt;/div&gt;&lt;div&gt;&lt;b&gt;Longitude:&lt;/b&gt; "&amp;TEXT(E36,"0.0000000")&amp;"&lt;/div&gt;&lt;/div&gt;")</x:f>
      </x:c>
    </x:row>
    <x:row r="37">
      <x:c r="A37" s="24"/>
      <x:c r="B37" s="24"/>
      <x:c r="C37" s="24"/>
      <x:c r="D37" s="36"/>
      <x:c r="E37" s="36"/>
      <x:c r="F37" s="24"/>
      <x:c r="G37" s="24" t="str">
        <x:f>IF(D37="","",AND(ISNUMBER(D37),D37&gt;=-90,D37&lt;=90))</x:f>
      </x:c>
      <x:c r="H37" s="24" t="str">
        <x:f>IF(E37="","",AND(ISNUMBER(E37),E37&gt;=-180,E37&lt;=180))</x:f>
      </x:c>
      <x:c r="I37" s="24" t="str">
        <x:f>IF(F37="","",COUNTIF(Status_Config!$B$2:$B$50,F37)&gt;0)</x:f>
      </x:c>
      <x:c r="J37" s="24" t="str">
        <x:f>IF(OR(D37="",E37=""),"",TEXT(D37,"0.0000000")&amp;","&amp;TEXT(E37,"0.0000000"))</x:f>
      </x:c>
      <x:c r="K37" s="24" t="str">
        <x:f>IF(F37="","",IF(F37="Construction","#D73027",IF(F37="Completed","#1A9850",IF(F37="Approval","#4575B4",""))))</x:f>
      </x:c>
      <x:c r="L37" s="24" t="str">
        <x:f>IF(A37="","",A37)</x:f>
      </x:c>
      <x:c r="M37" s="24" t="str">
        <x:f>IF(A37="","","&lt;div style='font-family:Arial,sans-serif;min-width:240px'&gt;&lt;h3 style='margin:0 0 8px 0'&gt;"&amp;A37&amp;" — "&amp;B37&amp;"&lt;/h3&gt;&lt;div&gt;&lt;b&gt;Status:&lt;/b&gt; "&amp;F37&amp;"&lt;/div&gt;&lt;div&gt;&lt;b&gt;Contractor:&lt;/b&gt; "&amp;C37&amp;"&lt;/div&gt;&lt;div&gt;&lt;b&gt;Latitude:&lt;/b&gt; "&amp;TEXT(D37,"0.0000000")&amp;"&lt;/div&gt;&lt;div&gt;&lt;b&gt;Longitude:&lt;/b&gt; "&amp;TEXT(E37,"0.0000000")&amp;"&lt;/div&gt;&lt;/div&gt;")</x:f>
      </x:c>
    </x:row>
    <x:row r="38">
      <x:c r="A38" s="24"/>
      <x:c r="B38" s="24"/>
      <x:c r="C38" s="24"/>
      <x:c r="D38" s="36"/>
      <x:c r="E38" s="36"/>
      <x:c r="F38" s="24"/>
      <x:c r="G38" s="24" t="str">
        <x:f>IF(D38="","",AND(ISNUMBER(D38),D38&gt;=-90,D38&lt;=90))</x:f>
      </x:c>
      <x:c r="H38" s="24" t="str">
        <x:f>IF(E38="","",AND(ISNUMBER(E38),E38&gt;=-180,E38&lt;=180))</x:f>
      </x:c>
      <x:c r="I38" s="24" t="str">
        <x:f>IF(F38="","",COUNTIF(Status_Config!$B$2:$B$50,F38)&gt;0)</x:f>
      </x:c>
      <x:c r="J38" s="24" t="str">
        <x:f>IF(OR(D38="",E38=""),"",TEXT(D38,"0.0000000")&amp;","&amp;TEXT(E38,"0.0000000"))</x:f>
      </x:c>
      <x:c r="K38" s="24" t="str">
        <x:f>IF(F38="","",IF(F38="Construction","#D73027",IF(F38="Completed","#1A9850",IF(F38="Approval","#4575B4",""))))</x:f>
      </x:c>
      <x:c r="L38" s="24" t="str">
        <x:f>IF(A38="","",A38)</x:f>
      </x:c>
      <x:c r="M38" s="24" t="str">
        <x:f>IF(A38="","","&lt;div style='font-family:Arial,sans-serif;min-width:240px'&gt;&lt;h3 style='margin:0 0 8px 0'&gt;"&amp;A38&amp;" — "&amp;B38&amp;"&lt;/h3&gt;&lt;div&gt;&lt;b&gt;Status:&lt;/b&gt; "&amp;F38&amp;"&lt;/div&gt;&lt;div&gt;&lt;b&gt;Contractor:&lt;/b&gt; "&amp;C38&amp;"&lt;/div&gt;&lt;div&gt;&lt;b&gt;Latitude:&lt;/b&gt; "&amp;TEXT(D38,"0.0000000")&amp;"&lt;/div&gt;&lt;div&gt;&lt;b&gt;Longitude:&lt;/b&gt; "&amp;TEXT(E38,"0.0000000")&amp;"&lt;/div&gt;&lt;/div&gt;")</x:f>
      </x:c>
    </x:row>
    <x:row r="39">
      <x:c r="A39" s="24"/>
      <x:c r="B39" s="24"/>
      <x:c r="C39" s="24"/>
      <x:c r="D39" s="36"/>
      <x:c r="E39" s="36"/>
      <x:c r="F39" s="24"/>
      <x:c r="G39" s="24" t="str">
        <x:f>IF(D39="","",AND(ISNUMBER(D39),D39&gt;=-90,D39&lt;=90))</x:f>
      </x:c>
      <x:c r="H39" s="24" t="str">
        <x:f>IF(E39="","",AND(ISNUMBER(E39),E39&gt;=-180,E39&lt;=180))</x:f>
      </x:c>
      <x:c r="I39" s="24" t="str">
        <x:f>IF(F39="","",COUNTIF(Status_Config!$B$2:$B$50,F39)&gt;0)</x:f>
      </x:c>
      <x:c r="J39" s="24" t="str">
        <x:f>IF(OR(D39="",E39=""),"",TEXT(D39,"0.0000000")&amp;","&amp;TEXT(E39,"0.0000000"))</x:f>
      </x:c>
      <x:c r="K39" s="24" t="str">
        <x:f>IF(F39="","",IF(F39="Construction","#D73027",IF(F39="Completed","#1A9850",IF(F39="Approval","#4575B4",""))))</x:f>
      </x:c>
      <x:c r="L39" s="24" t="str">
        <x:f>IF(A39="","",A39)</x:f>
      </x:c>
      <x:c r="M39" s="24" t="str">
        <x:f>IF(A39="","","&lt;div style='font-family:Arial,sans-serif;min-width:240px'&gt;&lt;h3 style='margin:0 0 8px 0'&gt;"&amp;A39&amp;" — "&amp;B39&amp;"&lt;/h3&gt;&lt;div&gt;&lt;b&gt;Status:&lt;/b&gt; "&amp;F39&amp;"&lt;/div&gt;&lt;div&gt;&lt;b&gt;Contractor:&lt;/b&gt; "&amp;C39&amp;"&lt;/div&gt;&lt;div&gt;&lt;b&gt;Latitude:&lt;/b&gt; "&amp;TEXT(D39,"0.0000000")&amp;"&lt;/div&gt;&lt;div&gt;&lt;b&gt;Longitude:&lt;/b&gt; "&amp;TEXT(E39,"0.0000000")&amp;"&lt;/div&gt;&lt;/div&gt;")</x:f>
      </x:c>
    </x:row>
    <x:row r="40">
      <x:c r="A40" s="24"/>
      <x:c r="B40" s="24"/>
      <x:c r="C40" s="24"/>
      <x:c r="D40" s="36"/>
      <x:c r="E40" s="36"/>
      <x:c r="F40" s="24"/>
      <x:c r="G40" s="24" t="str">
        <x:f>IF(D40="","",AND(ISNUMBER(D40),D40&gt;=-90,D40&lt;=90))</x:f>
      </x:c>
      <x:c r="H40" s="24" t="str">
        <x:f>IF(E40="","",AND(ISNUMBER(E40),E40&gt;=-180,E40&lt;=180))</x:f>
      </x:c>
      <x:c r="I40" s="24" t="str">
        <x:f>IF(F40="","",COUNTIF(Status_Config!$B$2:$B$50,F40)&gt;0)</x:f>
      </x:c>
      <x:c r="J40" s="24" t="str">
        <x:f>IF(OR(D40="",E40=""),"",TEXT(D40,"0.0000000")&amp;","&amp;TEXT(E40,"0.0000000"))</x:f>
      </x:c>
      <x:c r="K40" s="24" t="str">
        <x:f>IF(F40="","",IF(F40="Construction","#D73027",IF(F40="Completed","#1A9850",IF(F40="Approval","#4575B4",""))))</x:f>
      </x:c>
      <x:c r="L40" s="24" t="str">
        <x:f>IF(A40="","",A40)</x:f>
      </x:c>
      <x:c r="M40" s="24" t="str">
        <x:f>IF(A40="","","&lt;div style='font-family:Arial,sans-serif;min-width:240px'&gt;&lt;h3 style='margin:0 0 8px 0'&gt;"&amp;A40&amp;" — "&amp;B40&amp;"&lt;/h3&gt;&lt;div&gt;&lt;b&gt;Status:&lt;/b&gt; "&amp;F40&amp;"&lt;/div&gt;&lt;div&gt;&lt;b&gt;Contractor:&lt;/b&gt; "&amp;C40&amp;"&lt;/div&gt;&lt;div&gt;&lt;b&gt;Latitude:&lt;/b&gt; "&amp;TEXT(D40,"0.0000000")&amp;"&lt;/div&gt;&lt;div&gt;&lt;b&gt;Longitude:&lt;/b&gt; "&amp;TEXT(E40,"0.0000000")&amp;"&lt;/div&gt;&lt;/div&gt;")</x:f>
      </x:c>
    </x:row>
    <x:row r="41">
      <x:c r="A41" s="24"/>
      <x:c r="B41" s="24"/>
      <x:c r="C41" s="24"/>
      <x:c r="D41" s="36"/>
      <x:c r="E41" s="36"/>
      <x:c r="F41" s="24"/>
      <x:c r="G41" s="24" t="str">
        <x:f>IF(D41="","",AND(ISNUMBER(D41),D41&gt;=-90,D41&lt;=90))</x:f>
      </x:c>
      <x:c r="H41" s="24" t="str">
        <x:f>IF(E41="","",AND(ISNUMBER(E41),E41&gt;=-180,E41&lt;=180))</x:f>
      </x:c>
      <x:c r="I41" s="24" t="str">
        <x:f>IF(F41="","",COUNTIF(Status_Config!$B$2:$B$50,F41)&gt;0)</x:f>
      </x:c>
      <x:c r="J41" s="24" t="str">
        <x:f>IF(OR(D41="",E41=""),"",TEXT(D41,"0.0000000")&amp;","&amp;TEXT(E41,"0.0000000"))</x:f>
      </x:c>
      <x:c r="K41" s="24" t="str">
        <x:f>IF(F41="","",IF(F41="Construction","#D73027",IF(F41="Completed","#1A9850",IF(F41="Approval","#4575B4",""))))</x:f>
      </x:c>
      <x:c r="L41" s="24" t="str">
        <x:f>IF(A41="","",A41)</x:f>
      </x:c>
      <x:c r="M41" s="24" t="str">
        <x:f>IF(A41="","","&lt;div style='font-family:Arial,sans-serif;min-width:240px'&gt;&lt;h3 style='margin:0 0 8px 0'&gt;"&amp;A41&amp;" — "&amp;B41&amp;"&lt;/h3&gt;&lt;div&gt;&lt;b&gt;Status:&lt;/b&gt; "&amp;F41&amp;"&lt;/div&gt;&lt;div&gt;&lt;b&gt;Contractor:&lt;/b&gt; "&amp;C41&amp;"&lt;/div&gt;&lt;div&gt;&lt;b&gt;Latitude:&lt;/b&gt; "&amp;TEXT(D41,"0.0000000")&amp;"&lt;/div&gt;&lt;div&gt;&lt;b&gt;Longitude:&lt;/b&gt; "&amp;TEXT(E41,"0.0000000")&amp;"&lt;/div&gt;&lt;/div&gt;")</x:f>
      </x:c>
    </x:row>
    <x:row r="42">
      <x:c r="A42" s="24"/>
      <x:c r="B42" s="24"/>
      <x:c r="C42" s="24"/>
      <x:c r="D42" s="36"/>
      <x:c r="E42" s="36"/>
      <x:c r="F42" s="24"/>
      <x:c r="G42" s="24" t="str">
        <x:f>IF(D42="","",AND(ISNUMBER(D42),D42&gt;=-90,D42&lt;=90))</x:f>
      </x:c>
      <x:c r="H42" s="24" t="str">
        <x:f>IF(E42="","",AND(ISNUMBER(E42),E42&gt;=-180,E42&lt;=180))</x:f>
      </x:c>
      <x:c r="I42" s="24" t="str">
        <x:f>IF(F42="","",COUNTIF(Status_Config!$B$2:$B$50,F42)&gt;0)</x:f>
      </x:c>
      <x:c r="J42" s="24" t="str">
        <x:f>IF(OR(D42="",E42=""),"",TEXT(D42,"0.0000000")&amp;","&amp;TEXT(E42,"0.0000000"))</x:f>
      </x:c>
      <x:c r="K42" s="24" t="str">
        <x:f>IF(F42="","",IF(F42="Construction","#D73027",IF(F42="Completed","#1A9850",IF(F42="Approval","#4575B4",""))))</x:f>
      </x:c>
      <x:c r="L42" s="24" t="str">
        <x:f>IF(A42="","",A42)</x:f>
      </x:c>
      <x:c r="M42" s="24" t="str">
        <x:f>IF(A42="","","&lt;div style='font-family:Arial,sans-serif;min-width:240px'&gt;&lt;h3 style='margin:0 0 8px 0'&gt;"&amp;A42&amp;" — "&amp;B42&amp;"&lt;/h3&gt;&lt;div&gt;&lt;b&gt;Status:&lt;/b&gt; "&amp;F42&amp;"&lt;/div&gt;&lt;div&gt;&lt;b&gt;Contractor:&lt;/b&gt; "&amp;C42&amp;"&lt;/div&gt;&lt;div&gt;&lt;b&gt;Latitude:&lt;/b&gt; "&amp;TEXT(D42,"0.0000000")&amp;"&lt;/div&gt;&lt;div&gt;&lt;b&gt;Longitude:&lt;/b&gt; "&amp;TEXT(E42,"0.0000000")&amp;"&lt;/div&gt;&lt;/div&gt;")</x:f>
      </x:c>
    </x:row>
    <x:row r="43">
      <x:c r="A43" s="24"/>
      <x:c r="B43" s="24"/>
      <x:c r="C43" s="24"/>
      <x:c r="D43" s="36"/>
      <x:c r="E43" s="36"/>
      <x:c r="F43" s="24"/>
      <x:c r="G43" s="24" t="str">
        <x:f>IF(D43="","",AND(ISNUMBER(D43),D43&gt;=-90,D43&lt;=90))</x:f>
      </x:c>
      <x:c r="H43" s="24" t="str">
        <x:f>IF(E43="","",AND(ISNUMBER(E43),E43&gt;=-180,E43&lt;=180))</x:f>
      </x:c>
      <x:c r="I43" s="24" t="str">
        <x:f>IF(F43="","",COUNTIF(Status_Config!$B$2:$B$50,F43)&gt;0)</x:f>
      </x:c>
      <x:c r="J43" s="24" t="str">
        <x:f>IF(OR(D43="",E43=""),"",TEXT(D43,"0.0000000")&amp;","&amp;TEXT(E43,"0.0000000"))</x:f>
      </x:c>
      <x:c r="K43" s="24" t="str">
        <x:f>IF(F43="","",IF(F43="Construction","#D73027",IF(F43="Completed","#1A9850",IF(F43="Approval","#4575B4",""))))</x:f>
      </x:c>
      <x:c r="L43" s="24" t="str">
        <x:f>IF(A43="","",A43)</x:f>
      </x:c>
      <x:c r="M43" s="24" t="str">
        <x:f>IF(A43="","","&lt;div style='font-family:Arial,sans-serif;min-width:240px'&gt;&lt;h3 style='margin:0 0 8px 0'&gt;"&amp;A43&amp;" — "&amp;B43&amp;"&lt;/h3&gt;&lt;div&gt;&lt;b&gt;Status:&lt;/b&gt; "&amp;F43&amp;"&lt;/div&gt;&lt;div&gt;&lt;b&gt;Contractor:&lt;/b&gt; "&amp;C43&amp;"&lt;/div&gt;&lt;div&gt;&lt;b&gt;Latitude:&lt;/b&gt; "&amp;TEXT(D43,"0.0000000")&amp;"&lt;/div&gt;&lt;div&gt;&lt;b&gt;Longitude:&lt;/b&gt; "&amp;TEXT(E43,"0.0000000")&amp;"&lt;/div&gt;&lt;/div&gt;")</x:f>
      </x:c>
    </x:row>
    <x:row r="44">
      <x:c r="A44" s="24"/>
      <x:c r="B44" s="24"/>
      <x:c r="C44" s="24"/>
      <x:c r="D44" s="36"/>
      <x:c r="E44" s="36"/>
      <x:c r="F44" s="24"/>
      <x:c r="G44" s="24" t="str">
        <x:f>IF(D44="","",AND(ISNUMBER(D44),D44&gt;=-90,D44&lt;=90))</x:f>
      </x:c>
      <x:c r="H44" s="24" t="str">
        <x:f>IF(E44="","",AND(ISNUMBER(E44),E44&gt;=-180,E44&lt;=180))</x:f>
      </x:c>
      <x:c r="I44" s="24" t="str">
        <x:f>IF(F44="","",COUNTIF(Status_Config!$B$2:$B$50,F44)&gt;0)</x:f>
      </x:c>
      <x:c r="J44" s="24" t="str">
        <x:f>IF(OR(D44="",E44=""),"",TEXT(D44,"0.0000000")&amp;","&amp;TEXT(E44,"0.0000000"))</x:f>
      </x:c>
      <x:c r="K44" s="24" t="str">
        <x:f>IF(F44="","",IF(F44="Construction","#D73027",IF(F44="Completed","#1A9850",IF(F44="Approval","#4575B4",""))))</x:f>
      </x:c>
      <x:c r="L44" s="24" t="str">
        <x:f>IF(A44="","",A44)</x:f>
      </x:c>
      <x:c r="M44" s="24" t="str">
        <x:f>IF(A44="","","&lt;div style='font-family:Arial,sans-serif;min-width:240px'&gt;&lt;h3 style='margin:0 0 8px 0'&gt;"&amp;A44&amp;" — "&amp;B44&amp;"&lt;/h3&gt;&lt;div&gt;&lt;b&gt;Status:&lt;/b&gt; "&amp;F44&amp;"&lt;/div&gt;&lt;div&gt;&lt;b&gt;Contractor:&lt;/b&gt; "&amp;C44&amp;"&lt;/div&gt;&lt;div&gt;&lt;b&gt;Latitude:&lt;/b&gt; "&amp;TEXT(D44,"0.0000000")&amp;"&lt;/div&gt;&lt;div&gt;&lt;b&gt;Longitude:&lt;/b&gt; "&amp;TEXT(E44,"0.0000000")&amp;"&lt;/div&gt;&lt;/div&gt;")</x:f>
      </x:c>
    </x:row>
    <x:row r="45">
      <x:c r="A45" s="24"/>
      <x:c r="B45" s="24"/>
      <x:c r="C45" s="24"/>
      <x:c r="D45" s="36"/>
      <x:c r="E45" s="36"/>
      <x:c r="F45" s="24"/>
      <x:c r="G45" s="24" t="str">
        <x:f>IF(D45="","",AND(ISNUMBER(D45),D45&gt;=-90,D45&lt;=90))</x:f>
      </x:c>
      <x:c r="H45" s="24" t="str">
        <x:f>IF(E45="","",AND(ISNUMBER(E45),E45&gt;=-180,E45&lt;=180))</x:f>
      </x:c>
      <x:c r="I45" s="24" t="str">
        <x:f>IF(F45="","",COUNTIF(Status_Config!$B$2:$B$50,F45)&gt;0)</x:f>
      </x:c>
      <x:c r="J45" s="24" t="str">
        <x:f>IF(OR(D45="",E45=""),"",TEXT(D45,"0.0000000")&amp;","&amp;TEXT(E45,"0.0000000"))</x:f>
      </x:c>
      <x:c r="K45" s="24" t="str">
        <x:f>IF(F45="","",IF(F45="Construction","#D73027",IF(F45="Completed","#1A9850",IF(F45="Approval","#4575B4",""))))</x:f>
      </x:c>
      <x:c r="L45" s="24" t="str">
        <x:f>IF(A45="","",A45)</x:f>
      </x:c>
      <x:c r="M45" s="24" t="str">
        <x:f>IF(A45="","","&lt;div style='font-family:Arial,sans-serif;min-width:240px'&gt;&lt;h3 style='margin:0 0 8px 0'&gt;"&amp;A45&amp;" — "&amp;B45&amp;"&lt;/h3&gt;&lt;div&gt;&lt;b&gt;Status:&lt;/b&gt; "&amp;F45&amp;"&lt;/div&gt;&lt;div&gt;&lt;b&gt;Contractor:&lt;/b&gt; "&amp;C45&amp;"&lt;/div&gt;&lt;div&gt;&lt;b&gt;Latitude:&lt;/b&gt; "&amp;TEXT(D45,"0.0000000")&amp;"&lt;/div&gt;&lt;div&gt;&lt;b&gt;Longitude:&lt;/b&gt; "&amp;TEXT(E45,"0.0000000")&amp;"&lt;/div&gt;&lt;/div&gt;")</x:f>
      </x:c>
    </x:row>
    <x:row r="46">
      <x:c r="A46" s="24"/>
      <x:c r="B46" s="24"/>
      <x:c r="C46" s="24"/>
      <x:c r="D46" s="36"/>
      <x:c r="E46" s="36"/>
      <x:c r="F46" s="24"/>
      <x:c r="G46" s="24" t="str">
        <x:f>IF(D46="","",AND(ISNUMBER(D46),D46&gt;=-90,D46&lt;=90))</x:f>
      </x:c>
      <x:c r="H46" s="24" t="str">
        <x:f>IF(E46="","",AND(ISNUMBER(E46),E46&gt;=-180,E46&lt;=180))</x:f>
      </x:c>
      <x:c r="I46" s="24" t="str">
        <x:f>IF(F46="","",COUNTIF(Status_Config!$B$2:$B$50,F46)&gt;0)</x:f>
      </x:c>
      <x:c r="J46" s="24" t="str">
        <x:f>IF(OR(D46="",E46=""),"",TEXT(D46,"0.0000000")&amp;","&amp;TEXT(E46,"0.0000000"))</x:f>
      </x:c>
      <x:c r="K46" s="24" t="str">
        <x:f>IF(F46="","",IF(F46="Construction","#D73027",IF(F46="Completed","#1A9850",IF(F46="Approval","#4575B4",""))))</x:f>
      </x:c>
      <x:c r="L46" s="24" t="str">
        <x:f>IF(A46="","",A46)</x:f>
      </x:c>
      <x:c r="M46" s="24" t="str">
        <x:f>IF(A46="","","&lt;div style='font-family:Arial,sans-serif;min-width:240px'&gt;&lt;h3 style='margin:0 0 8px 0'&gt;"&amp;A46&amp;" — "&amp;B46&amp;"&lt;/h3&gt;&lt;div&gt;&lt;b&gt;Status:&lt;/b&gt; "&amp;F46&amp;"&lt;/div&gt;&lt;div&gt;&lt;b&gt;Contractor:&lt;/b&gt; "&amp;C46&amp;"&lt;/div&gt;&lt;div&gt;&lt;b&gt;Latitude:&lt;/b&gt; "&amp;TEXT(D46,"0.0000000")&amp;"&lt;/div&gt;&lt;div&gt;&lt;b&gt;Longitude:&lt;/b&gt; "&amp;TEXT(E46,"0.0000000")&amp;"&lt;/div&gt;&lt;/div&gt;")</x:f>
      </x:c>
    </x:row>
    <x:row r="47">
      <x:c r="A47" s="24"/>
      <x:c r="B47" s="24"/>
      <x:c r="C47" s="24"/>
      <x:c r="D47" s="36"/>
      <x:c r="E47" s="36"/>
      <x:c r="F47" s="24"/>
      <x:c r="G47" s="24" t="str">
        <x:f>IF(D47="","",AND(ISNUMBER(D47),D47&gt;=-90,D47&lt;=90))</x:f>
      </x:c>
      <x:c r="H47" s="24" t="str">
        <x:f>IF(E47="","",AND(ISNUMBER(E47),E47&gt;=-180,E47&lt;=180))</x:f>
      </x:c>
      <x:c r="I47" s="24" t="str">
        <x:f>IF(F47="","",COUNTIF(Status_Config!$B$2:$B$50,F47)&gt;0)</x:f>
      </x:c>
      <x:c r="J47" s="24" t="str">
        <x:f>IF(OR(D47="",E47=""),"",TEXT(D47,"0.0000000")&amp;","&amp;TEXT(E47,"0.0000000"))</x:f>
      </x:c>
      <x:c r="K47" s="24" t="str">
        <x:f>IF(F47="","",IF(F47="Construction","#D73027",IF(F47="Completed","#1A9850",IF(F47="Approval","#4575B4",""))))</x:f>
      </x:c>
      <x:c r="L47" s="24" t="str">
        <x:f>IF(A47="","",A47)</x:f>
      </x:c>
      <x:c r="M47" s="24" t="str">
        <x:f>IF(A47="","","&lt;div style='font-family:Arial,sans-serif;min-width:240px'&gt;&lt;h3 style='margin:0 0 8px 0'&gt;"&amp;A47&amp;" — "&amp;B47&amp;"&lt;/h3&gt;&lt;div&gt;&lt;b&gt;Status:&lt;/b&gt; "&amp;F47&amp;"&lt;/div&gt;&lt;div&gt;&lt;b&gt;Contractor:&lt;/b&gt; "&amp;C47&amp;"&lt;/div&gt;&lt;div&gt;&lt;b&gt;Latitude:&lt;/b&gt; "&amp;TEXT(D47,"0.0000000")&amp;"&lt;/div&gt;&lt;div&gt;&lt;b&gt;Longitude:&lt;/b&gt; "&amp;TEXT(E47,"0.0000000")&amp;"&lt;/div&gt;&lt;/div&gt;")</x:f>
      </x:c>
    </x:row>
    <x:row r="48">
      <x:c r="A48" s="24"/>
      <x:c r="B48" s="24"/>
      <x:c r="C48" s="24"/>
      <x:c r="D48" s="36"/>
      <x:c r="E48" s="36"/>
      <x:c r="F48" s="24"/>
      <x:c r="G48" s="24" t="str">
        <x:f>IF(D48="","",AND(ISNUMBER(D48),D48&gt;=-90,D48&lt;=90))</x:f>
      </x:c>
      <x:c r="H48" s="24" t="str">
        <x:f>IF(E48="","",AND(ISNUMBER(E48),E48&gt;=-180,E48&lt;=180))</x:f>
      </x:c>
      <x:c r="I48" s="24" t="str">
        <x:f>IF(F48="","",COUNTIF(Status_Config!$B$2:$B$50,F48)&gt;0)</x:f>
      </x:c>
      <x:c r="J48" s="24" t="str">
        <x:f>IF(OR(D48="",E48=""),"",TEXT(D48,"0.0000000")&amp;","&amp;TEXT(E48,"0.0000000"))</x:f>
      </x:c>
      <x:c r="K48" s="24" t="str">
        <x:f>IF(F48="","",IF(F48="Construction","#D73027",IF(F48="Completed","#1A9850",IF(F48="Approval","#4575B4",""))))</x:f>
      </x:c>
      <x:c r="L48" s="24" t="str">
        <x:f>IF(A48="","",A48)</x:f>
      </x:c>
      <x:c r="M48" s="24" t="str">
        <x:f>IF(A48="","","&lt;div style='font-family:Arial,sans-serif;min-width:240px'&gt;&lt;h3 style='margin:0 0 8px 0'&gt;"&amp;A48&amp;" — "&amp;B48&amp;"&lt;/h3&gt;&lt;div&gt;&lt;b&gt;Status:&lt;/b&gt; "&amp;F48&amp;"&lt;/div&gt;&lt;div&gt;&lt;b&gt;Contractor:&lt;/b&gt; "&amp;C48&amp;"&lt;/div&gt;&lt;div&gt;&lt;b&gt;Latitude:&lt;/b&gt; "&amp;TEXT(D48,"0.0000000")&amp;"&lt;/div&gt;&lt;div&gt;&lt;b&gt;Longitude:&lt;/b&gt; "&amp;TEXT(E48,"0.0000000")&amp;"&lt;/div&gt;&lt;/div&gt;")</x:f>
      </x:c>
    </x:row>
    <x:row r="49">
      <x:c r="A49" s="24"/>
      <x:c r="B49" s="24"/>
      <x:c r="C49" s="24"/>
      <x:c r="D49" s="36"/>
      <x:c r="E49" s="36"/>
      <x:c r="F49" s="24"/>
      <x:c r="G49" s="24" t="str">
        <x:f>IF(D49="","",AND(ISNUMBER(D49),D49&gt;=-90,D49&lt;=90))</x:f>
      </x:c>
      <x:c r="H49" s="24" t="str">
        <x:f>IF(E49="","",AND(ISNUMBER(E49),E49&gt;=-180,E49&lt;=180))</x:f>
      </x:c>
      <x:c r="I49" s="24" t="str">
        <x:f>IF(F49="","",COUNTIF(Status_Config!$B$2:$B$50,F49)&gt;0)</x:f>
      </x:c>
      <x:c r="J49" s="24" t="str">
        <x:f>IF(OR(D49="",E49=""),"",TEXT(D49,"0.0000000")&amp;","&amp;TEXT(E49,"0.0000000"))</x:f>
      </x:c>
      <x:c r="K49" s="24" t="str">
        <x:f>IF(F49="","",IF(F49="Construction","#D73027",IF(F49="Completed","#1A9850",IF(F49="Approval","#4575B4",""))))</x:f>
      </x:c>
      <x:c r="L49" s="24" t="str">
        <x:f>IF(A49="","",A49)</x:f>
      </x:c>
      <x:c r="M49" s="24" t="str">
        <x:f>IF(A49="","","&lt;div style='font-family:Arial,sans-serif;min-width:240px'&gt;&lt;h3 style='margin:0 0 8px 0'&gt;"&amp;A49&amp;" — "&amp;B49&amp;"&lt;/h3&gt;&lt;div&gt;&lt;b&gt;Status:&lt;/b&gt; "&amp;F49&amp;"&lt;/div&gt;&lt;div&gt;&lt;b&gt;Contractor:&lt;/b&gt; "&amp;C49&amp;"&lt;/div&gt;&lt;div&gt;&lt;b&gt;Latitude:&lt;/b&gt; "&amp;TEXT(D49,"0.0000000")&amp;"&lt;/div&gt;&lt;div&gt;&lt;b&gt;Longitude:&lt;/b&gt; "&amp;TEXT(E49,"0.0000000")&amp;"&lt;/div&gt;&lt;/div&gt;")</x:f>
      </x:c>
    </x:row>
    <x:row r="50">
      <x:c r="A50" s="24"/>
      <x:c r="B50" s="24"/>
      <x:c r="C50" s="24"/>
      <x:c r="D50" s="36"/>
      <x:c r="E50" s="36"/>
      <x:c r="F50" s="24"/>
      <x:c r="G50" s="24" t="str">
        <x:f>IF(D50="","",AND(ISNUMBER(D50),D50&gt;=-90,D50&lt;=90))</x:f>
      </x:c>
      <x:c r="H50" s="24" t="str">
        <x:f>IF(E50="","",AND(ISNUMBER(E50),E50&gt;=-180,E50&lt;=180))</x:f>
      </x:c>
      <x:c r="I50" s="24" t="str">
        <x:f>IF(F50="","",COUNTIF(Status_Config!$B$2:$B$50,F50)&gt;0)</x:f>
      </x:c>
      <x:c r="J50" s="24" t="str">
        <x:f>IF(OR(D50="",E50=""),"",TEXT(D50,"0.0000000")&amp;","&amp;TEXT(E50,"0.0000000"))</x:f>
      </x:c>
      <x:c r="K50" s="24" t="str">
        <x:f>IF(F50="","",IF(F50="Construction","#D73027",IF(F50="Completed","#1A9850",IF(F50="Approval","#4575B4",""))))</x:f>
      </x:c>
      <x:c r="L50" s="24" t="str">
        <x:f>IF(A50="","",A50)</x:f>
      </x:c>
      <x:c r="M50" s="24" t="str">
        <x:f>IF(A50="","","&lt;div style='font-family:Arial,sans-serif;min-width:240px'&gt;&lt;h3 style='margin:0 0 8px 0'&gt;"&amp;A50&amp;" — "&amp;B50&amp;"&lt;/h3&gt;&lt;div&gt;&lt;b&gt;Status:&lt;/b&gt; "&amp;F50&amp;"&lt;/div&gt;&lt;div&gt;&lt;b&gt;Contractor:&lt;/b&gt; "&amp;C50&amp;"&lt;/div&gt;&lt;div&gt;&lt;b&gt;Latitude:&lt;/b&gt; "&amp;TEXT(D50,"0.0000000")&amp;"&lt;/div&gt;&lt;div&gt;&lt;b&gt;Longitude:&lt;/b&gt; "&amp;TEXT(E50,"0.0000000")&amp;"&lt;/div&gt;&lt;/div&gt;")</x:f>
      </x:c>
    </x:row>
    <x:row r="51">
      <x:c r="A51" s="24"/>
      <x:c r="B51" s="24"/>
      <x:c r="C51" s="24"/>
      <x:c r="D51" s="36"/>
      <x:c r="E51" s="36"/>
      <x:c r="F51" s="24"/>
      <x:c r="G51" s="24" t="str">
        <x:f>IF(D51="","",AND(ISNUMBER(D51),D51&gt;=-90,D51&lt;=90))</x:f>
      </x:c>
      <x:c r="H51" s="24" t="str">
        <x:f>IF(E51="","",AND(ISNUMBER(E51),E51&gt;=-180,E51&lt;=180))</x:f>
      </x:c>
      <x:c r="I51" s="24" t="str">
        <x:f>IF(F51="","",COUNTIF(Status_Config!$B$2:$B$50,F51)&gt;0)</x:f>
      </x:c>
      <x:c r="J51" s="24" t="str">
        <x:f>IF(OR(D51="",E51=""),"",TEXT(D51,"0.0000000")&amp;","&amp;TEXT(E51,"0.0000000"))</x:f>
      </x:c>
      <x:c r="K51" s="24" t="str">
        <x:f>IF(F51="","",IF(F51="Construction","#D73027",IF(F51="Completed","#1A9850",IF(F51="Approval","#4575B4",""))))</x:f>
      </x:c>
      <x:c r="L51" s="24" t="str">
        <x:f>IF(A51="","",A51)</x:f>
      </x:c>
      <x:c r="M51" s="24" t="str">
        <x:f>IF(A51="","","&lt;div style='font-family:Arial,sans-serif;min-width:240px'&gt;&lt;h3 style='margin:0 0 8px 0'&gt;"&amp;A51&amp;" — "&amp;B51&amp;"&lt;/h3&gt;&lt;div&gt;&lt;b&gt;Status:&lt;/b&gt; "&amp;F51&amp;"&lt;/div&gt;&lt;div&gt;&lt;b&gt;Contractor:&lt;/b&gt; "&amp;C51&amp;"&lt;/div&gt;&lt;div&gt;&lt;b&gt;Latitude:&lt;/b&gt; "&amp;TEXT(D51,"0.0000000")&amp;"&lt;/div&gt;&lt;div&gt;&lt;b&gt;Longitude:&lt;/b&gt; "&amp;TEXT(E51,"0.0000000")&amp;"&lt;/div&gt;&lt;/div&gt;")</x:f>
      </x:c>
    </x:row>
    <x:row r="52">
      <x:c r="A52" s="24"/>
      <x:c r="B52" s="24"/>
      <x:c r="C52" s="24"/>
      <x:c r="D52" s="36"/>
      <x:c r="E52" s="36"/>
      <x:c r="F52" s="24"/>
      <x:c r="G52" s="24" t="str">
        <x:f>IF(D52="","",AND(ISNUMBER(D52),D52&gt;=-90,D52&lt;=90))</x:f>
      </x:c>
      <x:c r="H52" s="24" t="str">
        <x:f>IF(E52="","",AND(ISNUMBER(E52),E52&gt;=-180,E52&lt;=180))</x:f>
      </x:c>
      <x:c r="I52" s="24" t="str">
        <x:f>IF(F52="","",COUNTIF(Status_Config!$B$2:$B$50,F52)&gt;0)</x:f>
      </x:c>
      <x:c r="J52" s="24" t="str">
        <x:f>IF(OR(D52="",E52=""),"",TEXT(D52,"0.0000000")&amp;","&amp;TEXT(E52,"0.0000000"))</x:f>
      </x:c>
      <x:c r="K52" s="24" t="str">
        <x:f>IF(F52="","",IF(F52="Construction","#D73027",IF(F52="Completed","#1A9850",IF(F52="Approval","#4575B4",""))))</x:f>
      </x:c>
      <x:c r="L52" s="24" t="str">
        <x:f>IF(A52="","",A52)</x:f>
      </x:c>
      <x:c r="M52" s="24" t="str">
        <x:f>IF(A52="","","&lt;div style='font-family:Arial,sans-serif;min-width:240px'&gt;&lt;h3 style='margin:0 0 8px 0'&gt;"&amp;A52&amp;" — "&amp;B52&amp;"&lt;/h3&gt;&lt;div&gt;&lt;b&gt;Status:&lt;/b&gt; "&amp;F52&amp;"&lt;/div&gt;&lt;div&gt;&lt;b&gt;Contractor:&lt;/b&gt; "&amp;C52&amp;"&lt;/div&gt;&lt;div&gt;&lt;b&gt;Latitude:&lt;/b&gt; "&amp;TEXT(D52,"0.0000000")&amp;"&lt;/div&gt;&lt;div&gt;&lt;b&gt;Longitude:&lt;/b&gt; "&amp;TEXT(E52,"0.0000000")&amp;"&lt;/div&gt;&lt;/div&gt;")</x:f>
      </x:c>
    </x:row>
    <x:row r="53">
      <x:c r="A53" s="24"/>
      <x:c r="B53" s="24"/>
      <x:c r="C53" s="24"/>
      <x:c r="D53" s="36"/>
      <x:c r="E53" s="36"/>
      <x:c r="F53" s="24"/>
      <x:c r="G53" s="24" t="str">
        <x:f>IF(D53="","",AND(ISNUMBER(D53),D53&gt;=-90,D53&lt;=90))</x:f>
      </x:c>
      <x:c r="H53" s="24" t="str">
        <x:f>IF(E53="","",AND(ISNUMBER(E53),E53&gt;=-180,E53&lt;=180))</x:f>
      </x:c>
      <x:c r="I53" s="24" t="str">
        <x:f>IF(F53="","",COUNTIF(Status_Config!$B$2:$B$50,F53)&gt;0)</x:f>
      </x:c>
      <x:c r="J53" s="24" t="str">
        <x:f>IF(OR(D53="",E53=""),"",TEXT(D53,"0.0000000")&amp;","&amp;TEXT(E53,"0.0000000"))</x:f>
      </x:c>
      <x:c r="K53" s="24" t="str">
        <x:f>IF(F53="","",IF(F53="Construction","#D73027",IF(F53="Completed","#1A9850",IF(F53="Approval","#4575B4",""))))</x:f>
      </x:c>
      <x:c r="L53" s="24" t="str">
        <x:f>IF(A53="","",A53)</x:f>
      </x:c>
      <x:c r="M53" s="24" t="str">
        <x:f>IF(A53="","","&lt;div style='font-family:Arial,sans-serif;min-width:240px'&gt;&lt;h3 style='margin:0 0 8px 0'&gt;"&amp;A53&amp;" — "&amp;B53&amp;"&lt;/h3&gt;&lt;div&gt;&lt;b&gt;Status:&lt;/b&gt; "&amp;F53&amp;"&lt;/div&gt;&lt;div&gt;&lt;b&gt;Contractor:&lt;/b&gt; "&amp;C53&amp;"&lt;/div&gt;&lt;div&gt;&lt;b&gt;Latitude:&lt;/b&gt; "&amp;TEXT(D53,"0.0000000")&amp;"&lt;/div&gt;&lt;div&gt;&lt;b&gt;Longitude:&lt;/b&gt; "&amp;TEXT(E53,"0.0000000")&amp;"&lt;/div&gt;&lt;/div&gt;")</x:f>
      </x:c>
    </x:row>
    <x:row r="54">
      <x:c r="A54" s="24"/>
      <x:c r="B54" s="24"/>
      <x:c r="C54" s="24"/>
      <x:c r="D54" s="36"/>
      <x:c r="E54" s="36"/>
      <x:c r="F54" s="24"/>
      <x:c r="G54" s="24" t="str">
        <x:f>IF(D54="","",AND(ISNUMBER(D54),D54&gt;=-90,D54&lt;=90))</x:f>
      </x:c>
      <x:c r="H54" s="24" t="str">
        <x:f>IF(E54="","",AND(ISNUMBER(E54),E54&gt;=-180,E54&lt;=180))</x:f>
      </x:c>
      <x:c r="I54" s="24" t="str">
        <x:f>IF(F54="","",COUNTIF(Status_Config!$B$2:$B$50,F54)&gt;0)</x:f>
      </x:c>
      <x:c r="J54" s="24" t="str">
        <x:f>IF(OR(D54="",E54=""),"",TEXT(D54,"0.0000000")&amp;","&amp;TEXT(E54,"0.0000000"))</x:f>
      </x:c>
      <x:c r="K54" s="24" t="str">
        <x:f>IF(F54="","",IF(F54="Construction","#D73027",IF(F54="Completed","#1A9850",IF(F54="Approval","#4575B4",""))))</x:f>
      </x:c>
      <x:c r="L54" s="24" t="str">
        <x:f>IF(A54="","",A54)</x:f>
      </x:c>
      <x:c r="M54" s="24" t="str">
        <x:f>IF(A54="","","&lt;div style='font-family:Arial,sans-serif;min-width:240px'&gt;&lt;h3 style='margin:0 0 8px 0'&gt;"&amp;A54&amp;" — "&amp;B54&amp;"&lt;/h3&gt;&lt;div&gt;&lt;b&gt;Status:&lt;/b&gt; "&amp;F54&amp;"&lt;/div&gt;&lt;div&gt;&lt;b&gt;Contractor:&lt;/b&gt; "&amp;C54&amp;"&lt;/div&gt;&lt;div&gt;&lt;b&gt;Latitude:&lt;/b&gt; "&amp;TEXT(D54,"0.0000000")&amp;"&lt;/div&gt;&lt;div&gt;&lt;b&gt;Longitude:&lt;/b&gt; "&amp;TEXT(E54,"0.0000000")&amp;"&lt;/div&gt;&lt;/div&gt;")</x:f>
      </x:c>
    </x:row>
    <x:row r="55">
      <x:c r="A55" s="24"/>
      <x:c r="B55" s="24"/>
      <x:c r="C55" s="24"/>
      <x:c r="D55" s="36"/>
      <x:c r="E55" s="36"/>
      <x:c r="F55" s="24"/>
      <x:c r="G55" s="24" t="str">
        <x:f>IF(D55="","",AND(ISNUMBER(D55),D55&gt;=-90,D55&lt;=90))</x:f>
      </x:c>
      <x:c r="H55" s="24" t="str">
        <x:f>IF(E55="","",AND(ISNUMBER(E55),E55&gt;=-180,E55&lt;=180))</x:f>
      </x:c>
      <x:c r="I55" s="24" t="str">
        <x:f>IF(F55="","",COUNTIF(Status_Config!$B$2:$B$50,F55)&gt;0)</x:f>
      </x:c>
      <x:c r="J55" s="24" t="str">
        <x:f>IF(OR(D55="",E55=""),"",TEXT(D55,"0.0000000")&amp;","&amp;TEXT(E55,"0.0000000"))</x:f>
      </x:c>
      <x:c r="K55" s="24" t="str">
        <x:f>IF(F55="","",IF(F55="Construction","#D73027",IF(F55="Completed","#1A9850",IF(F55="Approval","#4575B4",""))))</x:f>
      </x:c>
      <x:c r="L55" s="24" t="str">
        <x:f>IF(A55="","",A55)</x:f>
      </x:c>
      <x:c r="M55" s="24" t="str">
        <x:f>IF(A55="","","&lt;div style='font-family:Arial,sans-serif;min-width:240px'&gt;&lt;h3 style='margin:0 0 8px 0'&gt;"&amp;A55&amp;" — "&amp;B55&amp;"&lt;/h3&gt;&lt;div&gt;&lt;b&gt;Status:&lt;/b&gt; "&amp;F55&amp;"&lt;/div&gt;&lt;div&gt;&lt;b&gt;Contractor:&lt;/b&gt; "&amp;C55&amp;"&lt;/div&gt;&lt;div&gt;&lt;b&gt;Latitude:&lt;/b&gt; "&amp;TEXT(D55,"0.0000000")&amp;"&lt;/div&gt;&lt;div&gt;&lt;b&gt;Longitude:&lt;/b&gt; "&amp;TEXT(E55,"0.0000000")&amp;"&lt;/div&gt;&lt;/div&gt;")</x:f>
      </x:c>
    </x:row>
    <x:row r="56">
      <x:c r="A56" s="24"/>
      <x:c r="B56" s="24"/>
      <x:c r="C56" s="24"/>
      <x:c r="D56" s="36"/>
      <x:c r="E56" s="36"/>
      <x:c r="F56" s="24"/>
      <x:c r="G56" s="24" t="str">
        <x:f>IF(D56="","",AND(ISNUMBER(D56),D56&gt;=-90,D56&lt;=90))</x:f>
      </x:c>
      <x:c r="H56" s="24" t="str">
        <x:f>IF(E56="","",AND(ISNUMBER(E56),E56&gt;=-180,E56&lt;=180))</x:f>
      </x:c>
      <x:c r="I56" s="24" t="str">
        <x:f>IF(F56="","",COUNTIF(Status_Config!$B$2:$B$50,F56)&gt;0)</x:f>
      </x:c>
      <x:c r="J56" s="24" t="str">
        <x:f>IF(OR(D56="",E56=""),"",TEXT(D56,"0.0000000")&amp;","&amp;TEXT(E56,"0.0000000"))</x:f>
      </x:c>
      <x:c r="K56" s="24" t="str">
        <x:f>IF(F56="","",IF(F56="Construction","#D73027",IF(F56="Completed","#1A9850",IF(F56="Approval","#4575B4",""))))</x:f>
      </x:c>
      <x:c r="L56" s="24" t="str">
        <x:f>IF(A56="","",A56)</x:f>
      </x:c>
      <x:c r="M56" s="24" t="str">
        <x:f>IF(A56="","","&lt;div style='font-family:Arial,sans-serif;min-width:240px'&gt;&lt;h3 style='margin:0 0 8px 0'&gt;"&amp;A56&amp;" — "&amp;B56&amp;"&lt;/h3&gt;&lt;div&gt;&lt;b&gt;Status:&lt;/b&gt; "&amp;F56&amp;"&lt;/div&gt;&lt;div&gt;&lt;b&gt;Contractor:&lt;/b&gt; "&amp;C56&amp;"&lt;/div&gt;&lt;div&gt;&lt;b&gt;Latitude:&lt;/b&gt; "&amp;TEXT(D56,"0.0000000")&amp;"&lt;/div&gt;&lt;div&gt;&lt;b&gt;Longitude:&lt;/b&gt; "&amp;TEXT(E56,"0.0000000")&amp;"&lt;/div&gt;&lt;/div&gt;")</x:f>
      </x:c>
    </x:row>
    <x:row r="57">
      <x:c r="A57" s="24"/>
      <x:c r="B57" s="24"/>
      <x:c r="C57" s="24"/>
      <x:c r="D57" s="36"/>
      <x:c r="E57" s="36"/>
      <x:c r="F57" s="24"/>
      <x:c r="G57" s="24" t="str">
        <x:f>IF(D57="","",AND(ISNUMBER(D57),D57&gt;=-90,D57&lt;=90))</x:f>
      </x:c>
      <x:c r="H57" s="24" t="str">
        <x:f>IF(E57="","",AND(ISNUMBER(E57),E57&gt;=-180,E57&lt;=180))</x:f>
      </x:c>
      <x:c r="I57" s="24" t="str">
        <x:f>IF(F57="","",COUNTIF(Status_Config!$B$2:$B$50,F57)&gt;0)</x:f>
      </x:c>
      <x:c r="J57" s="24" t="str">
        <x:f>IF(OR(D57="",E57=""),"",TEXT(D57,"0.0000000")&amp;","&amp;TEXT(E57,"0.0000000"))</x:f>
      </x:c>
      <x:c r="K57" s="24" t="str">
        <x:f>IF(F57="","",IF(F57="Construction","#D73027",IF(F57="Completed","#1A9850",IF(F57="Approval","#4575B4",""))))</x:f>
      </x:c>
      <x:c r="L57" s="24" t="str">
        <x:f>IF(A57="","",A57)</x:f>
      </x:c>
      <x:c r="M57" s="24" t="str">
        <x:f>IF(A57="","","&lt;div style='font-family:Arial,sans-serif;min-width:240px'&gt;&lt;h3 style='margin:0 0 8px 0'&gt;"&amp;A57&amp;" — "&amp;B57&amp;"&lt;/h3&gt;&lt;div&gt;&lt;b&gt;Status:&lt;/b&gt; "&amp;F57&amp;"&lt;/div&gt;&lt;div&gt;&lt;b&gt;Contractor:&lt;/b&gt; "&amp;C57&amp;"&lt;/div&gt;&lt;div&gt;&lt;b&gt;Latitude:&lt;/b&gt; "&amp;TEXT(D57,"0.0000000")&amp;"&lt;/div&gt;&lt;div&gt;&lt;b&gt;Longitude:&lt;/b&gt; "&amp;TEXT(E57,"0.0000000")&amp;"&lt;/div&gt;&lt;/div&gt;")</x:f>
      </x:c>
    </x:row>
    <x:row r="58">
      <x:c r="A58" s="24"/>
      <x:c r="B58" s="24"/>
      <x:c r="C58" s="24"/>
      <x:c r="D58" s="36"/>
      <x:c r="E58" s="36"/>
      <x:c r="F58" s="24"/>
      <x:c r="G58" s="24" t="str">
        <x:f>IF(D58="","",AND(ISNUMBER(D58),D58&gt;=-90,D58&lt;=90))</x:f>
      </x:c>
      <x:c r="H58" s="24" t="str">
        <x:f>IF(E58="","",AND(ISNUMBER(E58),E58&gt;=-180,E58&lt;=180))</x:f>
      </x:c>
      <x:c r="I58" s="24" t="str">
        <x:f>IF(F58="","",COUNTIF(Status_Config!$B$2:$B$50,F58)&gt;0)</x:f>
      </x:c>
      <x:c r="J58" s="24" t="str">
        <x:f>IF(OR(D58="",E58=""),"",TEXT(D58,"0.0000000")&amp;","&amp;TEXT(E58,"0.0000000"))</x:f>
      </x:c>
      <x:c r="K58" s="24" t="str">
        <x:f>IF(F58="","",IF(F58="Construction","#D73027",IF(F58="Completed","#1A9850",IF(F58="Approval","#4575B4",""))))</x:f>
      </x:c>
      <x:c r="L58" s="24" t="str">
        <x:f>IF(A58="","",A58)</x:f>
      </x:c>
      <x:c r="M58" s="24" t="str">
        <x:f>IF(A58="","","&lt;div style='font-family:Arial,sans-serif;min-width:240px'&gt;&lt;h3 style='margin:0 0 8px 0'&gt;"&amp;A58&amp;" — "&amp;B58&amp;"&lt;/h3&gt;&lt;div&gt;&lt;b&gt;Status:&lt;/b&gt; "&amp;F58&amp;"&lt;/div&gt;&lt;div&gt;&lt;b&gt;Contractor:&lt;/b&gt; "&amp;C58&amp;"&lt;/div&gt;&lt;div&gt;&lt;b&gt;Latitude:&lt;/b&gt; "&amp;TEXT(D58,"0.0000000")&amp;"&lt;/div&gt;&lt;div&gt;&lt;b&gt;Longitude:&lt;/b&gt; "&amp;TEXT(E58,"0.0000000")&amp;"&lt;/div&gt;&lt;/div&gt;")</x:f>
      </x:c>
    </x:row>
    <x:row r="59">
      <x:c r="A59" s="24"/>
      <x:c r="B59" s="24"/>
      <x:c r="C59" s="24"/>
      <x:c r="D59" s="36"/>
      <x:c r="E59" s="36"/>
      <x:c r="F59" s="24"/>
      <x:c r="G59" s="24" t="str">
        <x:f>IF(D59="","",AND(ISNUMBER(D59),D59&gt;=-90,D59&lt;=90))</x:f>
      </x:c>
      <x:c r="H59" s="24" t="str">
        <x:f>IF(E59="","",AND(ISNUMBER(E59),E59&gt;=-180,E59&lt;=180))</x:f>
      </x:c>
      <x:c r="I59" s="24" t="str">
        <x:f>IF(F59="","",COUNTIF(Status_Config!$B$2:$B$50,F59)&gt;0)</x:f>
      </x:c>
      <x:c r="J59" s="24" t="str">
        <x:f>IF(OR(D59="",E59=""),"",TEXT(D59,"0.0000000")&amp;","&amp;TEXT(E59,"0.0000000"))</x:f>
      </x:c>
      <x:c r="K59" s="24" t="str">
        <x:f>IF(F59="","",IF(F59="Construction","#D73027",IF(F59="Completed","#1A9850",IF(F59="Approval","#4575B4",""))))</x:f>
      </x:c>
      <x:c r="L59" s="24" t="str">
        <x:f>IF(A59="","",A59)</x:f>
      </x:c>
      <x:c r="M59" s="24" t="str">
        <x:f>IF(A59="","","&lt;div style='font-family:Arial,sans-serif;min-width:240px'&gt;&lt;h3 style='margin:0 0 8px 0'&gt;"&amp;A59&amp;" — "&amp;B59&amp;"&lt;/h3&gt;&lt;div&gt;&lt;b&gt;Status:&lt;/b&gt; "&amp;F59&amp;"&lt;/div&gt;&lt;div&gt;&lt;b&gt;Contractor:&lt;/b&gt; "&amp;C59&amp;"&lt;/div&gt;&lt;div&gt;&lt;b&gt;Latitude:&lt;/b&gt; "&amp;TEXT(D59,"0.0000000")&amp;"&lt;/div&gt;&lt;div&gt;&lt;b&gt;Longitude:&lt;/b&gt; "&amp;TEXT(E59,"0.0000000")&amp;"&lt;/div&gt;&lt;/div&gt;")</x:f>
      </x:c>
    </x:row>
    <x:row r="60">
      <x:c r="A60" s="24"/>
      <x:c r="B60" s="24"/>
      <x:c r="C60" s="24"/>
      <x:c r="D60" s="36"/>
      <x:c r="E60" s="36"/>
      <x:c r="F60" s="24"/>
      <x:c r="G60" s="24" t="str">
        <x:f>IF(D60="","",AND(ISNUMBER(D60),D60&gt;=-90,D60&lt;=90))</x:f>
      </x:c>
      <x:c r="H60" s="24" t="str">
        <x:f>IF(E60="","",AND(ISNUMBER(E60),E60&gt;=-180,E60&lt;=180))</x:f>
      </x:c>
      <x:c r="I60" s="24" t="str">
        <x:f>IF(F60="","",COUNTIF(Status_Config!$B$2:$B$50,F60)&gt;0)</x:f>
      </x:c>
      <x:c r="J60" s="24" t="str">
        <x:f>IF(OR(D60="",E60=""),"",TEXT(D60,"0.0000000")&amp;","&amp;TEXT(E60,"0.0000000"))</x:f>
      </x:c>
      <x:c r="K60" s="24" t="str">
        <x:f>IF(F60="","",IF(F60="Construction","#D73027",IF(F60="Completed","#1A9850",IF(F60="Approval","#4575B4",""))))</x:f>
      </x:c>
      <x:c r="L60" s="24" t="str">
        <x:f>IF(A60="","",A60)</x:f>
      </x:c>
      <x:c r="M60" s="24" t="str">
        <x:f>IF(A60="","","&lt;div style='font-family:Arial,sans-serif;min-width:240px'&gt;&lt;h3 style='margin:0 0 8px 0'&gt;"&amp;A60&amp;" — "&amp;B60&amp;"&lt;/h3&gt;&lt;div&gt;&lt;b&gt;Status:&lt;/b&gt; "&amp;F60&amp;"&lt;/div&gt;&lt;div&gt;&lt;b&gt;Contractor:&lt;/b&gt; "&amp;C60&amp;"&lt;/div&gt;&lt;div&gt;&lt;b&gt;Latitude:&lt;/b&gt; "&amp;TEXT(D60,"0.0000000")&amp;"&lt;/div&gt;&lt;div&gt;&lt;b&gt;Longitude:&lt;/b&gt; "&amp;TEXT(E60,"0.0000000")&amp;"&lt;/div&gt;&lt;/div&gt;")</x:f>
      </x:c>
    </x:row>
    <x:row r="61">
      <x:c r="A61" s="24"/>
      <x:c r="B61" s="24"/>
      <x:c r="C61" s="24"/>
      <x:c r="D61" s="36"/>
      <x:c r="E61" s="36"/>
      <x:c r="F61" s="24"/>
      <x:c r="G61" s="24" t="str">
        <x:f>IF(D61="","",AND(ISNUMBER(D61),D61&gt;=-90,D61&lt;=90))</x:f>
      </x:c>
      <x:c r="H61" s="24" t="str">
        <x:f>IF(E61="","",AND(ISNUMBER(E61),E61&gt;=-180,E61&lt;=180))</x:f>
      </x:c>
      <x:c r="I61" s="24" t="str">
        <x:f>IF(F61="","",COUNTIF(Status_Config!$B$2:$B$50,F61)&gt;0)</x:f>
      </x:c>
      <x:c r="J61" s="24" t="str">
        <x:f>IF(OR(D61="",E61=""),"",TEXT(D61,"0.0000000")&amp;","&amp;TEXT(E61,"0.0000000"))</x:f>
      </x:c>
      <x:c r="K61" s="24" t="str">
        <x:f>IF(F61="","",IF(F61="Construction","#D73027",IF(F61="Completed","#1A9850",IF(F61="Approval","#4575B4",""))))</x:f>
      </x:c>
      <x:c r="L61" s="24" t="str">
        <x:f>IF(A61="","",A61)</x:f>
      </x:c>
      <x:c r="M61" s="24" t="str">
        <x:f>IF(A61="","","&lt;div style='font-family:Arial,sans-serif;min-width:240px'&gt;&lt;h3 style='margin:0 0 8px 0'&gt;"&amp;A61&amp;" — "&amp;B61&amp;"&lt;/h3&gt;&lt;div&gt;&lt;b&gt;Status:&lt;/b&gt; "&amp;F61&amp;"&lt;/div&gt;&lt;div&gt;&lt;b&gt;Contractor:&lt;/b&gt; "&amp;C61&amp;"&lt;/div&gt;&lt;div&gt;&lt;b&gt;Latitude:&lt;/b&gt; "&amp;TEXT(D61,"0.0000000")&amp;"&lt;/div&gt;&lt;div&gt;&lt;b&gt;Longitude:&lt;/b&gt; "&amp;TEXT(E61,"0.0000000")&amp;"&lt;/div&gt;&lt;/div&gt;")</x:f>
      </x:c>
    </x:row>
    <x:row r="62">
      <x:c r="A62" s="24"/>
      <x:c r="B62" s="24"/>
      <x:c r="C62" s="24"/>
      <x:c r="D62" s="36"/>
      <x:c r="E62" s="36"/>
      <x:c r="F62" s="24"/>
      <x:c r="G62" s="24" t="str">
        <x:f>IF(D62="","",AND(ISNUMBER(D62),D62&gt;=-90,D62&lt;=90))</x:f>
      </x:c>
      <x:c r="H62" s="24" t="str">
        <x:f>IF(E62="","",AND(ISNUMBER(E62),E62&gt;=-180,E62&lt;=180))</x:f>
      </x:c>
      <x:c r="I62" s="24" t="str">
        <x:f>IF(F62="","",COUNTIF(Status_Config!$B$2:$B$50,F62)&gt;0)</x:f>
      </x:c>
      <x:c r="J62" s="24" t="str">
        <x:f>IF(OR(D62="",E62=""),"",TEXT(D62,"0.0000000")&amp;","&amp;TEXT(E62,"0.0000000"))</x:f>
      </x:c>
      <x:c r="K62" s="24" t="str">
        <x:f>IF(F62="","",IF(F62="Construction","#D73027",IF(F62="Completed","#1A9850",IF(F62="Approval","#4575B4",""))))</x:f>
      </x:c>
      <x:c r="L62" s="24" t="str">
        <x:f>IF(A62="","",A62)</x:f>
      </x:c>
      <x:c r="M62" s="24" t="str">
        <x:f>IF(A62="","","&lt;div style='font-family:Arial,sans-serif;min-width:240px'&gt;&lt;h3 style='margin:0 0 8px 0'&gt;"&amp;A62&amp;" — "&amp;B62&amp;"&lt;/h3&gt;&lt;div&gt;&lt;b&gt;Status:&lt;/b&gt; "&amp;F62&amp;"&lt;/div&gt;&lt;div&gt;&lt;b&gt;Contractor:&lt;/b&gt; "&amp;C62&amp;"&lt;/div&gt;&lt;div&gt;&lt;b&gt;Latitude:&lt;/b&gt; "&amp;TEXT(D62,"0.0000000")&amp;"&lt;/div&gt;&lt;div&gt;&lt;b&gt;Longitude:&lt;/b&gt; "&amp;TEXT(E62,"0.0000000")&amp;"&lt;/div&gt;&lt;/div&gt;")</x:f>
      </x:c>
    </x:row>
    <x:row r="63">
      <x:c r="A63" s="24"/>
      <x:c r="B63" s="24"/>
      <x:c r="C63" s="24"/>
      <x:c r="D63" s="36"/>
      <x:c r="E63" s="36"/>
      <x:c r="F63" s="24"/>
      <x:c r="G63" s="24" t="str">
        <x:f>IF(D63="","",AND(ISNUMBER(D63),D63&gt;=-90,D63&lt;=90))</x:f>
      </x:c>
      <x:c r="H63" s="24" t="str">
        <x:f>IF(E63="","",AND(ISNUMBER(E63),E63&gt;=-180,E63&lt;=180))</x:f>
      </x:c>
      <x:c r="I63" s="24" t="str">
        <x:f>IF(F63="","",COUNTIF(Status_Config!$B$2:$B$50,F63)&gt;0)</x:f>
      </x:c>
      <x:c r="J63" s="24" t="str">
        <x:f>IF(OR(D63="",E63=""),"",TEXT(D63,"0.0000000")&amp;","&amp;TEXT(E63,"0.0000000"))</x:f>
      </x:c>
      <x:c r="K63" s="24" t="str">
        <x:f>IF(F63="","",IF(F63="Construction","#D73027",IF(F63="Completed","#1A9850",IF(F63="Approval","#4575B4",""))))</x:f>
      </x:c>
      <x:c r="L63" s="24" t="str">
        <x:f>IF(A63="","",A63)</x:f>
      </x:c>
      <x:c r="M63" s="24" t="str">
        <x:f>IF(A63="","","&lt;div style='font-family:Arial,sans-serif;min-width:240px'&gt;&lt;h3 style='margin:0 0 8px 0'&gt;"&amp;A63&amp;" — "&amp;B63&amp;"&lt;/h3&gt;&lt;div&gt;&lt;b&gt;Status:&lt;/b&gt; "&amp;F63&amp;"&lt;/div&gt;&lt;div&gt;&lt;b&gt;Contractor:&lt;/b&gt; "&amp;C63&amp;"&lt;/div&gt;&lt;div&gt;&lt;b&gt;Latitude:&lt;/b&gt; "&amp;TEXT(D63,"0.0000000")&amp;"&lt;/div&gt;&lt;div&gt;&lt;b&gt;Longitude:&lt;/b&gt; "&amp;TEXT(E63,"0.0000000")&amp;"&lt;/div&gt;&lt;/div&gt;")</x:f>
      </x:c>
    </x:row>
    <x:row r="64">
      <x:c r="A64" s="24"/>
      <x:c r="B64" s="24"/>
      <x:c r="C64" s="24"/>
      <x:c r="D64" s="36"/>
      <x:c r="E64" s="36"/>
      <x:c r="F64" s="24"/>
      <x:c r="G64" s="24" t="str">
        <x:f>IF(D64="","",AND(ISNUMBER(D64),D64&gt;=-90,D64&lt;=90))</x:f>
      </x:c>
      <x:c r="H64" s="24" t="str">
        <x:f>IF(E64="","",AND(ISNUMBER(E64),E64&gt;=-180,E64&lt;=180))</x:f>
      </x:c>
      <x:c r="I64" s="24" t="str">
        <x:f>IF(F64="","",COUNTIF(Status_Config!$B$2:$B$50,F64)&gt;0)</x:f>
      </x:c>
      <x:c r="J64" s="24" t="str">
        <x:f>IF(OR(D64="",E64=""),"",TEXT(D64,"0.0000000")&amp;","&amp;TEXT(E64,"0.0000000"))</x:f>
      </x:c>
      <x:c r="K64" s="24" t="str">
        <x:f>IF(F64="","",IF(F64="Construction","#D73027",IF(F64="Completed","#1A9850",IF(F64="Approval","#4575B4",""))))</x:f>
      </x:c>
      <x:c r="L64" s="24" t="str">
        <x:f>IF(A64="","",A64)</x:f>
      </x:c>
      <x:c r="M64" s="24" t="str">
        <x:f>IF(A64="","","&lt;div style='font-family:Arial,sans-serif;min-width:240px'&gt;&lt;h3 style='margin:0 0 8px 0'&gt;"&amp;A64&amp;" — "&amp;B64&amp;"&lt;/h3&gt;&lt;div&gt;&lt;b&gt;Status:&lt;/b&gt; "&amp;F64&amp;"&lt;/div&gt;&lt;div&gt;&lt;b&gt;Contractor:&lt;/b&gt; "&amp;C64&amp;"&lt;/div&gt;&lt;div&gt;&lt;b&gt;Latitude:&lt;/b&gt; "&amp;TEXT(D64,"0.0000000")&amp;"&lt;/div&gt;&lt;div&gt;&lt;b&gt;Longitude:&lt;/b&gt; "&amp;TEXT(E64,"0.0000000")&amp;"&lt;/div&gt;&lt;/div&gt;")</x:f>
      </x:c>
    </x:row>
    <x:row r="65">
      <x:c r="A65" s="24"/>
      <x:c r="B65" s="24"/>
      <x:c r="C65" s="24"/>
      <x:c r="D65" s="36"/>
      <x:c r="E65" s="36"/>
      <x:c r="F65" s="24"/>
      <x:c r="G65" s="24" t="str">
        <x:f>IF(D65="","",AND(ISNUMBER(D65),D65&gt;=-90,D65&lt;=90))</x:f>
      </x:c>
      <x:c r="H65" s="24" t="str">
        <x:f>IF(E65="","",AND(ISNUMBER(E65),E65&gt;=-180,E65&lt;=180))</x:f>
      </x:c>
      <x:c r="I65" s="24" t="str">
        <x:f>IF(F65="","",COUNTIF(Status_Config!$B$2:$B$50,F65)&gt;0)</x:f>
      </x:c>
      <x:c r="J65" s="24" t="str">
        <x:f>IF(OR(D65="",E65=""),"",TEXT(D65,"0.0000000")&amp;","&amp;TEXT(E65,"0.0000000"))</x:f>
      </x:c>
      <x:c r="K65" s="24" t="str">
        <x:f>IF(F65="","",IF(F65="Construction","#D73027",IF(F65="Completed","#1A9850",IF(F65="Approval","#4575B4",""))))</x:f>
      </x:c>
      <x:c r="L65" s="24" t="str">
        <x:f>IF(A65="","",A65)</x:f>
      </x:c>
      <x:c r="M65" s="24" t="str">
        <x:f>IF(A65="","","&lt;div style='font-family:Arial,sans-serif;min-width:240px'&gt;&lt;h3 style='margin:0 0 8px 0'&gt;"&amp;A65&amp;" — "&amp;B65&amp;"&lt;/h3&gt;&lt;div&gt;&lt;b&gt;Status:&lt;/b&gt; "&amp;F65&amp;"&lt;/div&gt;&lt;div&gt;&lt;b&gt;Contractor:&lt;/b&gt; "&amp;C65&amp;"&lt;/div&gt;&lt;div&gt;&lt;b&gt;Latitude:&lt;/b&gt; "&amp;TEXT(D65,"0.0000000")&amp;"&lt;/div&gt;&lt;div&gt;&lt;b&gt;Longitude:&lt;/b&gt; "&amp;TEXT(E65,"0.0000000")&amp;"&lt;/div&gt;&lt;/div&gt;")</x:f>
      </x:c>
    </x:row>
    <x:row r="66">
      <x:c r="A66" s="24"/>
      <x:c r="B66" s="24"/>
      <x:c r="C66" s="24"/>
      <x:c r="D66" s="36"/>
      <x:c r="E66" s="36"/>
      <x:c r="F66" s="24"/>
      <x:c r="G66" s="24" t="str">
        <x:f>IF(D66="","",AND(ISNUMBER(D66),D66&gt;=-90,D66&lt;=90))</x:f>
      </x:c>
      <x:c r="H66" s="24" t="str">
        <x:f>IF(E66="","",AND(ISNUMBER(E66),E66&gt;=-180,E66&lt;=180))</x:f>
      </x:c>
      <x:c r="I66" s="24" t="str">
        <x:f>IF(F66="","",COUNTIF(Status_Config!$B$2:$B$50,F66)&gt;0)</x:f>
      </x:c>
      <x:c r="J66" s="24" t="str">
        <x:f>IF(OR(D66="",E66=""),"",TEXT(D66,"0.0000000")&amp;","&amp;TEXT(E66,"0.0000000"))</x:f>
      </x:c>
      <x:c r="K66" s="24" t="str">
        <x:f>IF(F66="","",IF(F66="Construction","#D73027",IF(F66="Completed","#1A9850",IF(F66="Approval","#4575B4",""))))</x:f>
      </x:c>
      <x:c r="L66" s="24" t="str">
        <x:f>IF(A66="","",A66)</x:f>
      </x:c>
      <x:c r="M66" s="24" t="str">
        <x:f>IF(A66="","","&lt;div style='font-family:Arial,sans-serif;min-width:240px'&gt;&lt;h3 style='margin:0 0 8px 0'&gt;"&amp;A66&amp;" — "&amp;B66&amp;"&lt;/h3&gt;&lt;div&gt;&lt;b&gt;Status:&lt;/b&gt; "&amp;F66&amp;"&lt;/div&gt;&lt;div&gt;&lt;b&gt;Contractor:&lt;/b&gt; "&amp;C66&amp;"&lt;/div&gt;&lt;div&gt;&lt;b&gt;Latitude:&lt;/b&gt; "&amp;TEXT(D66,"0.0000000")&amp;"&lt;/div&gt;&lt;div&gt;&lt;b&gt;Longitude:&lt;/b&gt; "&amp;TEXT(E66,"0.0000000")&amp;"&lt;/div&gt;&lt;/div&gt;")</x:f>
      </x:c>
    </x:row>
    <x:row r="67">
      <x:c r="A67" s="24"/>
      <x:c r="B67" s="24"/>
      <x:c r="C67" s="24"/>
      <x:c r="D67" s="36"/>
      <x:c r="E67" s="36"/>
      <x:c r="F67" s="24"/>
      <x:c r="G67" s="24" t="str">
        <x:f>IF(D67="","",AND(ISNUMBER(D67),D67&gt;=-90,D67&lt;=90))</x:f>
      </x:c>
      <x:c r="H67" s="24" t="str">
        <x:f>IF(E67="","",AND(ISNUMBER(E67),E67&gt;=-180,E67&lt;=180))</x:f>
      </x:c>
      <x:c r="I67" s="24" t="str">
        <x:f>IF(F67="","",COUNTIF(Status_Config!$B$2:$B$50,F67)&gt;0)</x:f>
      </x:c>
      <x:c r="J67" s="24" t="str">
        <x:f>IF(OR(D67="",E67=""),"",TEXT(D67,"0.0000000")&amp;","&amp;TEXT(E67,"0.0000000"))</x:f>
      </x:c>
      <x:c r="K67" s="24" t="str">
        <x:f>IF(F67="","",IF(F67="Construction","#D73027",IF(F67="Completed","#1A9850",IF(F67="Approval","#4575B4",""))))</x:f>
      </x:c>
      <x:c r="L67" s="24" t="str">
        <x:f>IF(A67="","",A67)</x:f>
      </x:c>
      <x:c r="M67" s="24" t="str">
        <x:f>IF(A67="","","&lt;div style='font-family:Arial,sans-serif;min-width:240px'&gt;&lt;h3 style='margin:0 0 8px 0'&gt;"&amp;A67&amp;" — "&amp;B67&amp;"&lt;/h3&gt;&lt;div&gt;&lt;b&gt;Status:&lt;/b&gt; "&amp;F67&amp;"&lt;/div&gt;&lt;div&gt;&lt;b&gt;Contractor:&lt;/b&gt; "&amp;C67&amp;"&lt;/div&gt;&lt;div&gt;&lt;b&gt;Latitude:&lt;/b&gt; "&amp;TEXT(D67,"0.0000000")&amp;"&lt;/div&gt;&lt;div&gt;&lt;b&gt;Longitude:&lt;/b&gt; "&amp;TEXT(E67,"0.0000000")&amp;"&lt;/div&gt;&lt;/div&gt;")</x:f>
      </x:c>
    </x:row>
    <x:row r="68">
      <x:c r="A68" s="24"/>
      <x:c r="B68" s="24"/>
      <x:c r="C68" s="24"/>
      <x:c r="D68" s="36"/>
      <x:c r="E68" s="36"/>
      <x:c r="F68" s="24"/>
      <x:c r="G68" s="24" t="str">
        <x:f>IF(D68="","",AND(ISNUMBER(D68),D68&gt;=-90,D68&lt;=90))</x:f>
      </x:c>
      <x:c r="H68" s="24" t="str">
        <x:f>IF(E68="","",AND(ISNUMBER(E68),E68&gt;=-180,E68&lt;=180))</x:f>
      </x:c>
      <x:c r="I68" s="24" t="str">
        <x:f>IF(F68="","",COUNTIF(Status_Config!$B$2:$B$50,F68)&gt;0)</x:f>
      </x:c>
      <x:c r="J68" s="24" t="str">
        <x:f>IF(OR(D68="",E68=""),"",TEXT(D68,"0.0000000")&amp;","&amp;TEXT(E68,"0.0000000"))</x:f>
      </x:c>
      <x:c r="K68" s="24" t="str">
        <x:f>IF(F68="","",IF(F68="Construction","#D73027",IF(F68="Completed","#1A9850",IF(F68="Approval","#4575B4",""))))</x:f>
      </x:c>
      <x:c r="L68" s="24" t="str">
        <x:f>IF(A68="","",A68)</x:f>
      </x:c>
      <x:c r="M68" s="24" t="str">
        <x:f>IF(A68="","","&lt;div style='font-family:Arial,sans-serif;min-width:240px'&gt;&lt;h3 style='margin:0 0 8px 0'&gt;"&amp;A68&amp;" — "&amp;B68&amp;"&lt;/h3&gt;&lt;div&gt;&lt;b&gt;Status:&lt;/b&gt; "&amp;F68&amp;"&lt;/div&gt;&lt;div&gt;&lt;b&gt;Contractor:&lt;/b&gt; "&amp;C68&amp;"&lt;/div&gt;&lt;div&gt;&lt;b&gt;Latitude:&lt;/b&gt; "&amp;TEXT(D68,"0.0000000")&amp;"&lt;/div&gt;&lt;div&gt;&lt;b&gt;Longitude:&lt;/b&gt; "&amp;TEXT(E68,"0.0000000")&amp;"&lt;/div&gt;&lt;/div&gt;")</x:f>
      </x:c>
    </x:row>
    <x:row r="69">
      <x:c r="A69" s="24"/>
      <x:c r="B69" s="24"/>
      <x:c r="C69" s="24"/>
      <x:c r="D69" s="36"/>
      <x:c r="E69" s="36"/>
      <x:c r="F69" s="24"/>
      <x:c r="G69" s="24" t="str">
        <x:f>IF(D69="","",AND(ISNUMBER(D69),D69&gt;=-90,D69&lt;=90))</x:f>
      </x:c>
      <x:c r="H69" s="24" t="str">
        <x:f>IF(E69="","",AND(ISNUMBER(E69),E69&gt;=-180,E69&lt;=180))</x:f>
      </x:c>
      <x:c r="I69" s="24" t="str">
        <x:f>IF(F69="","",COUNTIF(Status_Config!$B$2:$B$50,F69)&gt;0)</x:f>
      </x:c>
      <x:c r="J69" s="24" t="str">
        <x:f>IF(OR(D69="",E69=""),"",TEXT(D69,"0.0000000")&amp;","&amp;TEXT(E69,"0.0000000"))</x:f>
      </x:c>
      <x:c r="K69" s="24" t="str">
        <x:f>IF(F69="","",IF(F69="Construction","#D73027",IF(F69="Completed","#1A9850",IF(F69="Approval","#4575B4",""))))</x:f>
      </x:c>
      <x:c r="L69" s="24" t="str">
        <x:f>IF(A69="","",A69)</x:f>
      </x:c>
      <x:c r="M69" s="24" t="str">
        <x:f>IF(A69="","","&lt;div style='font-family:Arial,sans-serif;min-width:240px'&gt;&lt;h3 style='margin:0 0 8px 0'&gt;"&amp;A69&amp;" — "&amp;B69&amp;"&lt;/h3&gt;&lt;div&gt;&lt;b&gt;Status:&lt;/b&gt; "&amp;F69&amp;"&lt;/div&gt;&lt;div&gt;&lt;b&gt;Contractor:&lt;/b&gt; "&amp;C69&amp;"&lt;/div&gt;&lt;div&gt;&lt;b&gt;Latitude:&lt;/b&gt; "&amp;TEXT(D69,"0.0000000")&amp;"&lt;/div&gt;&lt;div&gt;&lt;b&gt;Longitude:&lt;/b&gt; "&amp;TEXT(E69,"0.0000000")&amp;"&lt;/div&gt;&lt;/div&gt;")</x:f>
      </x:c>
    </x:row>
    <x:row r="70">
      <x:c r="A70" s="24"/>
      <x:c r="B70" s="24"/>
      <x:c r="C70" s="24"/>
      <x:c r="D70" s="36"/>
      <x:c r="E70" s="36"/>
      <x:c r="F70" s="24"/>
      <x:c r="G70" s="24" t="str">
        <x:f>IF(D70="","",AND(ISNUMBER(D70),D70&gt;=-90,D70&lt;=90))</x:f>
      </x:c>
      <x:c r="H70" s="24" t="str">
        <x:f>IF(E70="","",AND(ISNUMBER(E70),E70&gt;=-180,E70&lt;=180))</x:f>
      </x:c>
      <x:c r="I70" s="24" t="str">
        <x:f>IF(F70="","",COUNTIF(Status_Config!$B$2:$B$50,F70)&gt;0)</x:f>
      </x:c>
      <x:c r="J70" s="24" t="str">
        <x:f>IF(OR(D70="",E70=""),"",TEXT(D70,"0.0000000")&amp;","&amp;TEXT(E70,"0.0000000"))</x:f>
      </x:c>
      <x:c r="K70" s="24" t="str">
        <x:f>IF(F70="","",IF(F70="Construction","#D73027",IF(F70="Completed","#1A9850",IF(F70="Approval","#4575B4",""))))</x:f>
      </x:c>
      <x:c r="L70" s="24" t="str">
        <x:f>IF(A70="","",A70)</x:f>
      </x:c>
      <x:c r="M70" s="24" t="str">
        <x:f>IF(A70="","","&lt;div style='font-family:Arial,sans-serif;min-width:240px'&gt;&lt;h3 style='margin:0 0 8px 0'&gt;"&amp;A70&amp;" — "&amp;B70&amp;"&lt;/h3&gt;&lt;div&gt;&lt;b&gt;Status:&lt;/b&gt; "&amp;F70&amp;"&lt;/div&gt;&lt;div&gt;&lt;b&gt;Contractor:&lt;/b&gt; "&amp;C70&amp;"&lt;/div&gt;&lt;div&gt;&lt;b&gt;Latitude:&lt;/b&gt; "&amp;TEXT(D70,"0.0000000")&amp;"&lt;/div&gt;&lt;div&gt;&lt;b&gt;Longitude:&lt;/b&gt; "&amp;TEXT(E70,"0.0000000")&amp;"&lt;/div&gt;&lt;/div&gt;")</x:f>
      </x:c>
    </x:row>
    <x:row r="71">
      <x:c r="A71" s="24"/>
      <x:c r="B71" s="24"/>
      <x:c r="C71" s="24"/>
      <x:c r="D71" s="36"/>
      <x:c r="E71" s="36"/>
      <x:c r="F71" s="24"/>
      <x:c r="G71" s="24" t="str">
        <x:f>IF(D71="","",AND(ISNUMBER(D71),D71&gt;=-90,D71&lt;=90))</x:f>
      </x:c>
      <x:c r="H71" s="24" t="str">
        <x:f>IF(E71="","",AND(ISNUMBER(E71),E71&gt;=-180,E71&lt;=180))</x:f>
      </x:c>
      <x:c r="I71" s="24" t="str">
        <x:f>IF(F71="","",COUNTIF(Status_Config!$B$2:$B$50,F71)&gt;0)</x:f>
      </x:c>
      <x:c r="J71" s="24" t="str">
        <x:f>IF(OR(D71="",E71=""),"",TEXT(D71,"0.0000000")&amp;","&amp;TEXT(E71,"0.0000000"))</x:f>
      </x:c>
      <x:c r="K71" s="24" t="str">
        <x:f>IF(F71="","",IF(F71="Construction","#D73027",IF(F71="Completed","#1A9850",IF(F71="Approval","#4575B4",""))))</x:f>
      </x:c>
      <x:c r="L71" s="24" t="str">
        <x:f>IF(A71="","",A71)</x:f>
      </x:c>
      <x:c r="M71" s="24" t="str">
        <x:f>IF(A71="","","&lt;div style='font-family:Arial,sans-serif;min-width:240px'&gt;&lt;h3 style='margin:0 0 8px 0'&gt;"&amp;A71&amp;" — "&amp;B71&amp;"&lt;/h3&gt;&lt;div&gt;&lt;b&gt;Status:&lt;/b&gt; "&amp;F71&amp;"&lt;/div&gt;&lt;div&gt;&lt;b&gt;Contractor:&lt;/b&gt; "&amp;C71&amp;"&lt;/div&gt;&lt;div&gt;&lt;b&gt;Latitude:&lt;/b&gt; "&amp;TEXT(D71,"0.0000000")&amp;"&lt;/div&gt;&lt;div&gt;&lt;b&gt;Longitude:&lt;/b&gt; "&amp;TEXT(E71,"0.0000000")&amp;"&lt;/div&gt;&lt;/div&gt;")</x:f>
      </x:c>
    </x:row>
    <x:row r="72">
      <x:c r="A72" s="24"/>
      <x:c r="B72" s="24"/>
      <x:c r="C72" s="24"/>
      <x:c r="D72" s="36"/>
      <x:c r="E72" s="36"/>
      <x:c r="F72" s="24"/>
      <x:c r="G72" s="24" t="str">
        <x:f>IF(D72="","",AND(ISNUMBER(D72),D72&gt;=-90,D72&lt;=90))</x:f>
      </x:c>
      <x:c r="H72" s="24" t="str">
        <x:f>IF(E72="","",AND(ISNUMBER(E72),E72&gt;=-180,E72&lt;=180))</x:f>
      </x:c>
      <x:c r="I72" s="24" t="str">
        <x:f>IF(F72="","",COUNTIF(Status_Config!$B$2:$B$50,F72)&gt;0)</x:f>
      </x:c>
      <x:c r="J72" s="24" t="str">
        <x:f>IF(OR(D72="",E72=""),"",TEXT(D72,"0.0000000")&amp;","&amp;TEXT(E72,"0.0000000"))</x:f>
      </x:c>
      <x:c r="K72" s="24" t="str">
        <x:f>IF(F72="","",IF(F72="Construction","#D73027",IF(F72="Completed","#1A9850",IF(F72="Approval","#4575B4",""))))</x:f>
      </x:c>
      <x:c r="L72" s="24" t="str">
        <x:f>IF(A72="","",A72)</x:f>
      </x:c>
      <x:c r="M72" s="24" t="str">
        <x:f>IF(A72="","","&lt;div style='font-family:Arial,sans-serif;min-width:240px'&gt;&lt;h3 style='margin:0 0 8px 0'&gt;"&amp;A72&amp;" — "&amp;B72&amp;"&lt;/h3&gt;&lt;div&gt;&lt;b&gt;Status:&lt;/b&gt; "&amp;F72&amp;"&lt;/div&gt;&lt;div&gt;&lt;b&gt;Contractor:&lt;/b&gt; "&amp;C72&amp;"&lt;/div&gt;&lt;div&gt;&lt;b&gt;Latitude:&lt;/b&gt; "&amp;TEXT(D72,"0.0000000")&amp;"&lt;/div&gt;&lt;div&gt;&lt;b&gt;Longitude:&lt;/b&gt; "&amp;TEXT(E72,"0.0000000")&amp;"&lt;/div&gt;&lt;/div&gt;")</x:f>
      </x:c>
    </x:row>
    <x:row r="73">
      <x:c r="A73" s="24"/>
      <x:c r="B73" s="24"/>
      <x:c r="C73" s="24"/>
      <x:c r="D73" s="36"/>
      <x:c r="E73" s="36"/>
      <x:c r="F73" s="24"/>
      <x:c r="G73" s="24" t="str">
        <x:f>IF(D73="","",AND(ISNUMBER(D73),D73&gt;=-90,D73&lt;=90))</x:f>
      </x:c>
      <x:c r="H73" s="24" t="str">
        <x:f>IF(E73="","",AND(ISNUMBER(E73),E73&gt;=-180,E73&lt;=180))</x:f>
      </x:c>
      <x:c r="I73" s="24" t="str">
        <x:f>IF(F73="","",COUNTIF(Status_Config!$B$2:$B$50,F73)&gt;0)</x:f>
      </x:c>
      <x:c r="J73" s="24" t="str">
        <x:f>IF(OR(D73="",E73=""),"",TEXT(D73,"0.0000000")&amp;","&amp;TEXT(E73,"0.0000000"))</x:f>
      </x:c>
      <x:c r="K73" s="24" t="str">
        <x:f>IF(F73="","",IF(F73="Construction","#D73027",IF(F73="Completed","#1A9850",IF(F73="Approval","#4575B4",""))))</x:f>
      </x:c>
      <x:c r="L73" s="24" t="str">
        <x:f>IF(A73="","",A73)</x:f>
      </x:c>
      <x:c r="M73" s="24" t="str">
        <x:f>IF(A73="","","&lt;div style='font-family:Arial,sans-serif;min-width:240px'&gt;&lt;h3 style='margin:0 0 8px 0'&gt;"&amp;A73&amp;" — "&amp;B73&amp;"&lt;/h3&gt;&lt;div&gt;&lt;b&gt;Status:&lt;/b&gt; "&amp;F73&amp;"&lt;/div&gt;&lt;div&gt;&lt;b&gt;Contractor:&lt;/b&gt; "&amp;C73&amp;"&lt;/div&gt;&lt;div&gt;&lt;b&gt;Latitude:&lt;/b&gt; "&amp;TEXT(D73,"0.0000000")&amp;"&lt;/div&gt;&lt;div&gt;&lt;b&gt;Longitude:&lt;/b&gt; "&amp;TEXT(E73,"0.0000000")&amp;"&lt;/div&gt;&lt;/div&gt;")</x:f>
      </x:c>
    </x:row>
    <x:row r="74">
      <x:c r="A74" s="24"/>
      <x:c r="B74" s="24"/>
      <x:c r="C74" s="24"/>
      <x:c r="D74" s="36"/>
      <x:c r="E74" s="36"/>
      <x:c r="F74" s="24"/>
      <x:c r="G74" s="24" t="str">
        <x:f>IF(D74="","",AND(ISNUMBER(D74),D74&gt;=-90,D74&lt;=90))</x:f>
      </x:c>
      <x:c r="H74" s="24" t="str">
        <x:f>IF(E74="","",AND(ISNUMBER(E74),E74&gt;=-180,E74&lt;=180))</x:f>
      </x:c>
      <x:c r="I74" s="24" t="str">
        <x:f>IF(F74="","",COUNTIF(Status_Config!$B$2:$B$50,F74)&gt;0)</x:f>
      </x:c>
      <x:c r="J74" s="24" t="str">
        <x:f>IF(OR(D74="",E74=""),"",TEXT(D74,"0.0000000")&amp;","&amp;TEXT(E74,"0.0000000"))</x:f>
      </x:c>
      <x:c r="K74" s="24" t="str">
        <x:f>IF(F74="","",IF(F74="Construction","#D73027",IF(F74="Completed","#1A9850",IF(F74="Approval","#4575B4",""))))</x:f>
      </x:c>
      <x:c r="L74" s="24" t="str">
        <x:f>IF(A74="","",A74)</x:f>
      </x:c>
      <x:c r="M74" s="24" t="str">
        <x:f>IF(A74="","","&lt;div style='font-family:Arial,sans-serif;min-width:240px'&gt;&lt;h3 style='margin:0 0 8px 0'&gt;"&amp;A74&amp;" — "&amp;B74&amp;"&lt;/h3&gt;&lt;div&gt;&lt;b&gt;Status:&lt;/b&gt; "&amp;F74&amp;"&lt;/div&gt;&lt;div&gt;&lt;b&gt;Contractor:&lt;/b&gt; "&amp;C74&amp;"&lt;/div&gt;&lt;div&gt;&lt;b&gt;Latitude:&lt;/b&gt; "&amp;TEXT(D74,"0.0000000")&amp;"&lt;/div&gt;&lt;div&gt;&lt;b&gt;Longitude:&lt;/b&gt; "&amp;TEXT(E74,"0.0000000")&amp;"&lt;/div&gt;&lt;/div&gt;")</x:f>
      </x:c>
    </x:row>
    <x:row r="75">
      <x:c r="A75" s="24"/>
      <x:c r="B75" s="24"/>
      <x:c r="C75" s="24"/>
      <x:c r="D75" s="36"/>
      <x:c r="E75" s="36"/>
      <x:c r="F75" s="24"/>
      <x:c r="G75" s="24" t="str">
        <x:f>IF(D75="","",AND(ISNUMBER(D75),D75&gt;=-90,D75&lt;=90))</x:f>
      </x:c>
      <x:c r="H75" s="24" t="str">
        <x:f>IF(E75="","",AND(ISNUMBER(E75),E75&gt;=-180,E75&lt;=180))</x:f>
      </x:c>
      <x:c r="I75" s="24" t="str">
        <x:f>IF(F75="","",COUNTIF(Status_Config!$B$2:$B$50,F75)&gt;0)</x:f>
      </x:c>
      <x:c r="J75" s="24" t="str">
        <x:f>IF(OR(D75="",E75=""),"",TEXT(D75,"0.0000000")&amp;","&amp;TEXT(E75,"0.0000000"))</x:f>
      </x:c>
      <x:c r="K75" s="24" t="str">
        <x:f>IF(F75="","",IF(F75="Construction","#D73027",IF(F75="Completed","#1A9850",IF(F75="Approval","#4575B4",""))))</x:f>
      </x:c>
      <x:c r="L75" s="24" t="str">
        <x:f>IF(A75="","",A75)</x:f>
      </x:c>
      <x:c r="M75" s="24" t="str">
        <x:f>IF(A75="","","&lt;div style='font-family:Arial,sans-serif;min-width:240px'&gt;&lt;h3 style='margin:0 0 8px 0'&gt;"&amp;A75&amp;" — "&amp;B75&amp;"&lt;/h3&gt;&lt;div&gt;&lt;b&gt;Status:&lt;/b&gt; "&amp;F75&amp;"&lt;/div&gt;&lt;div&gt;&lt;b&gt;Contractor:&lt;/b&gt; "&amp;C75&amp;"&lt;/div&gt;&lt;div&gt;&lt;b&gt;Latitude:&lt;/b&gt; "&amp;TEXT(D75,"0.0000000")&amp;"&lt;/div&gt;&lt;div&gt;&lt;b&gt;Longitude:&lt;/b&gt; "&amp;TEXT(E75,"0.0000000")&amp;"&lt;/div&gt;&lt;/div&gt;")</x:f>
      </x:c>
    </x:row>
    <x:row r="76">
      <x:c r="A76" s="24"/>
      <x:c r="B76" s="24"/>
      <x:c r="C76" s="24"/>
      <x:c r="D76" s="36"/>
      <x:c r="E76" s="36"/>
      <x:c r="F76" s="24"/>
      <x:c r="G76" s="24" t="str">
        <x:f>IF(D76="","",AND(ISNUMBER(D76),D76&gt;=-90,D76&lt;=90))</x:f>
      </x:c>
      <x:c r="H76" s="24" t="str">
        <x:f>IF(E76="","",AND(ISNUMBER(E76),E76&gt;=-180,E76&lt;=180))</x:f>
      </x:c>
      <x:c r="I76" s="24" t="str">
        <x:f>IF(F76="","",COUNTIF(Status_Config!$B$2:$B$50,F76)&gt;0)</x:f>
      </x:c>
      <x:c r="J76" s="24" t="str">
        <x:f>IF(OR(D76="",E76=""),"",TEXT(D76,"0.0000000")&amp;","&amp;TEXT(E76,"0.0000000"))</x:f>
      </x:c>
      <x:c r="K76" s="24" t="str">
        <x:f>IF(F76="","",IF(F76="Construction","#D73027",IF(F76="Completed","#1A9850",IF(F76="Approval","#4575B4",""))))</x:f>
      </x:c>
      <x:c r="L76" s="24" t="str">
        <x:f>IF(A76="","",A76)</x:f>
      </x:c>
      <x:c r="M76" s="24" t="str">
        <x:f>IF(A76="","","&lt;div style='font-family:Arial,sans-serif;min-width:240px'&gt;&lt;h3 style='margin:0 0 8px 0'&gt;"&amp;A76&amp;" — "&amp;B76&amp;"&lt;/h3&gt;&lt;div&gt;&lt;b&gt;Status:&lt;/b&gt; "&amp;F76&amp;"&lt;/div&gt;&lt;div&gt;&lt;b&gt;Contractor:&lt;/b&gt; "&amp;C76&amp;"&lt;/div&gt;&lt;div&gt;&lt;b&gt;Latitude:&lt;/b&gt; "&amp;TEXT(D76,"0.0000000")&amp;"&lt;/div&gt;&lt;div&gt;&lt;b&gt;Longitude:&lt;/b&gt; "&amp;TEXT(E76,"0.0000000")&amp;"&lt;/div&gt;&lt;/div&gt;")</x:f>
      </x:c>
    </x:row>
    <x:row r="77">
      <x:c r="A77" s="24"/>
      <x:c r="B77" s="24"/>
      <x:c r="C77" s="24"/>
      <x:c r="D77" s="36"/>
      <x:c r="E77" s="36"/>
      <x:c r="F77" s="24"/>
      <x:c r="G77" s="24" t="str">
        <x:f>IF(D77="","",AND(ISNUMBER(D77),D77&gt;=-90,D77&lt;=90))</x:f>
      </x:c>
      <x:c r="H77" s="24" t="str">
        <x:f>IF(E77="","",AND(ISNUMBER(E77),E77&gt;=-180,E77&lt;=180))</x:f>
      </x:c>
      <x:c r="I77" s="24" t="str">
        <x:f>IF(F77="","",COUNTIF(Status_Config!$B$2:$B$50,F77)&gt;0)</x:f>
      </x:c>
      <x:c r="J77" s="24" t="str">
        <x:f>IF(OR(D77="",E77=""),"",TEXT(D77,"0.0000000")&amp;","&amp;TEXT(E77,"0.0000000"))</x:f>
      </x:c>
      <x:c r="K77" s="24" t="str">
        <x:f>IF(F77="","",IF(F77="Construction","#D73027",IF(F77="Completed","#1A9850",IF(F77="Approval","#4575B4",""))))</x:f>
      </x:c>
      <x:c r="L77" s="24" t="str">
        <x:f>IF(A77="","",A77)</x:f>
      </x:c>
      <x:c r="M77" s="24" t="str">
        <x:f>IF(A77="","","&lt;div style='font-family:Arial,sans-serif;min-width:240px'&gt;&lt;h3 style='margin:0 0 8px 0'&gt;"&amp;A77&amp;" — "&amp;B77&amp;"&lt;/h3&gt;&lt;div&gt;&lt;b&gt;Status:&lt;/b&gt; "&amp;F77&amp;"&lt;/div&gt;&lt;div&gt;&lt;b&gt;Contractor:&lt;/b&gt; "&amp;C77&amp;"&lt;/div&gt;&lt;div&gt;&lt;b&gt;Latitude:&lt;/b&gt; "&amp;TEXT(D77,"0.0000000")&amp;"&lt;/div&gt;&lt;div&gt;&lt;b&gt;Longitude:&lt;/b&gt; "&amp;TEXT(E77,"0.0000000")&amp;"&lt;/div&gt;&lt;/div&gt;")</x:f>
      </x:c>
    </x:row>
    <x:row r="78">
      <x:c r="A78" s="24"/>
      <x:c r="B78" s="24"/>
      <x:c r="C78" s="24"/>
      <x:c r="D78" s="36"/>
      <x:c r="E78" s="36"/>
      <x:c r="F78" s="24"/>
      <x:c r="G78" s="24" t="str">
        <x:f>IF(D78="","",AND(ISNUMBER(D78),D78&gt;=-90,D78&lt;=90))</x:f>
      </x:c>
      <x:c r="H78" s="24" t="str">
        <x:f>IF(E78="","",AND(ISNUMBER(E78),E78&gt;=-180,E78&lt;=180))</x:f>
      </x:c>
      <x:c r="I78" s="24" t="str">
        <x:f>IF(F78="","",COUNTIF(Status_Config!$B$2:$B$50,F78)&gt;0)</x:f>
      </x:c>
      <x:c r="J78" s="24" t="str">
        <x:f>IF(OR(D78="",E78=""),"",TEXT(D78,"0.0000000")&amp;","&amp;TEXT(E78,"0.0000000"))</x:f>
      </x:c>
      <x:c r="K78" s="24" t="str">
        <x:f>IF(F78="","",IF(F78="Construction","#D73027",IF(F78="Completed","#1A9850",IF(F78="Approval","#4575B4",""))))</x:f>
      </x:c>
      <x:c r="L78" s="24" t="str">
        <x:f>IF(A78="","",A78)</x:f>
      </x:c>
      <x:c r="M78" s="24" t="str">
        <x:f>IF(A78="","","&lt;div style='font-family:Arial,sans-serif;min-width:240px'&gt;&lt;h3 style='margin:0 0 8px 0'&gt;"&amp;A78&amp;" — "&amp;B78&amp;"&lt;/h3&gt;&lt;div&gt;&lt;b&gt;Status:&lt;/b&gt; "&amp;F78&amp;"&lt;/div&gt;&lt;div&gt;&lt;b&gt;Contractor:&lt;/b&gt; "&amp;C78&amp;"&lt;/div&gt;&lt;div&gt;&lt;b&gt;Latitude:&lt;/b&gt; "&amp;TEXT(D78,"0.0000000")&amp;"&lt;/div&gt;&lt;div&gt;&lt;b&gt;Longitude:&lt;/b&gt; "&amp;TEXT(E78,"0.0000000")&amp;"&lt;/div&gt;&lt;/div&gt;")</x:f>
      </x:c>
    </x:row>
    <x:row r="79">
      <x:c r="A79" s="24"/>
      <x:c r="B79" s="24"/>
      <x:c r="C79" s="24"/>
      <x:c r="D79" s="36"/>
      <x:c r="E79" s="36"/>
      <x:c r="F79" s="24"/>
      <x:c r="G79" s="24" t="str">
        <x:f>IF(D79="","",AND(ISNUMBER(D79),D79&gt;=-90,D79&lt;=90))</x:f>
      </x:c>
      <x:c r="H79" s="24" t="str">
        <x:f>IF(E79="","",AND(ISNUMBER(E79),E79&gt;=-180,E79&lt;=180))</x:f>
      </x:c>
      <x:c r="I79" s="24" t="str">
        <x:f>IF(F79="","",COUNTIF(Status_Config!$B$2:$B$50,F79)&gt;0)</x:f>
      </x:c>
      <x:c r="J79" s="24" t="str">
        <x:f>IF(OR(D79="",E79=""),"",TEXT(D79,"0.0000000")&amp;","&amp;TEXT(E79,"0.0000000"))</x:f>
      </x:c>
      <x:c r="K79" s="24" t="str">
        <x:f>IF(F79="","",IF(F79="Construction","#D73027",IF(F79="Completed","#1A9850",IF(F79="Approval","#4575B4",""))))</x:f>
      </x:c>
      <x:c r="L79" s="24" t="str">
        <x:f>IF(A79="","",A79)</x:f>
      </x:c>
      <x:c r="M79" s="24" t="str">
        <x:f>IF(A79="","","&lt;div style='font-family:Arial,sans-serif;min-width:240px'&gt;&lt;h3 style='margin:0 0 8px 0'&gt;"&amp;A79&amp;" — "&amp;B79&amp;"&lt;/h3&gt;&lt;div&gt;&lt;b&gt;Status:&lt;/b&gt; "&amp;F79&amp;"&lt;/div&gt;&lt;div&gt;&lt;b&gt;Contractor:&lt;/b&gt; "&amp;C79&amp;"&lt;/div&gt;&lt;div&gt;&lt;b&gt;Latitude:&lt;/b&gt; "&amp;TEXT(D79,"0.0000000")&amp;"&lt;/div&gt;&lt;div&gt;&lt;b&gt;Longitude:&lt;/b&gt; "&amp;TEXT(E79,"0.0000000")&amp;"&lt;/div&gt;&lt;/div&gt;")</x:f>
      </x:c>
    </x:row>
    <x:row r="80">
      <x:c r="A80" s="24"/>
      <x:c r="B80" s="24"/>
      <x:c r="C80" s="24"/>
      <x:c r="D80" s="36"/>
      <x:c r="E80" s="36"/>
      <x:c r="F80" s="24"/>
      <x:c r="G80" s="24" t="str">
        <x:f>IF(D80="","",AND(ISNUMBER(D80),D80&gt;=-90,D80&lt;=90))</x:f>
      </x:c>
      <x:c r="H80" s="24" t="str">
        <x:f>IF(E80="","",AND(ISNUMBER(E80),E80&gt;=-180,E80&lt;=180))</x:f>
      </x:c>
      <x:c r="I80" s="24" t="str">
        <x:f>IF(F80="","",COUNTIF(Status_Config!$B$2:$B$50,F80)&gt;0)</x:f>
      </x:c>
      <x:c r="J80" s="24" t="str">
        <x:f>IF(OR(D80="",E80=""),"",TEXT(D80,"0.0000000")&amp;","&amp;TEXT(E80,"0.0000000"))</x:f>
      </x:c>
      <x:c r="K80" s="24" t="str">
        <x:f>IF(F80="","",IF(F80="Construction","#D73027",IF(F80="Completed","#1A9850",IF(F80="Approval","#4575B4",""))))</x:f>
      </x:c>
      <x:c r="L80" s="24" t="str">
        <x:f>IF(A80="","",A80)</x:f>
      </x:c>
      <x:c r="M80" s="24" t="str">
        <x:f>IF(A80="","","&lt;div style='font-family:Arial,sans-serif;min-width:240px'&gt;&lt;h3 style='margin:0 0 8px 0'&gt;"&amp;A80&amp;" — "&amp;B80&amp;"&lt;/h3&gt;&lt;div&gt;&lt;b&gt;Status:&lt;/b&gt; "&amp;F80&amp;"&lt;/div&gt;&lt;div&gt;&lt;b&gt;Contractor:&lt;/b&gt; "&amp;C80&amp;"&lt;/div&gt;&lt;div&gt;&lt;b&gt;Latitude:&lt;/b&gt; "&amp;TEXT(D80,"0.0000000")&amp;"&lt;/div&gt;&lt;div&gt;&lt;b&gt;Longitude:&lt;/b&gt; "&amp;TEXT(E80,"0.0000000")&amp;"&lt;/div&gt;&lt;/div&gt;")</x:f>
      </x:c>
    </x:row>
    <x:row r="81">
      <x:c r="A81" s="24"/>
      <x:c r="B81" s="24"/>
      <x:c r="C81" s="24"/>
      <x:c r="D81" s="36"/>
      <x:c r="E81" s="36"/>
      <x:c r="F81" s="24"/>
      <x:c r="G81" s="24" t="str">
        <x:f>IF(D81="","",AND(ISNUMBER(D81),D81&gt;=-90,D81&lt;=90))</x:f>
      </x:c>
      <x:c r="H81" s="24" t="str">
        <x:f>IF(E81="","",AND(ISNUMBER(E81),E81&gt;=-180,E81&lt;=180))</x:f>
      </x:c>
      <x:c r="I81" s="24" t="str">
        <x:f>IF(F81="","",COUNTIF(Status_Config!$B$2:$B$50,F81)&gt;0)</x:f>
      </x:c>
      <x:c r="J81" s="24" t="str">
        <x:f>IF(OR(D81="",E81=""),"",TEXT(D81,"0.0000000")&amp;","&amp;TEXT(E81,"0.0000000"))</x:f>
      </x:c>
      <x:c r="K81" s="24" t="str">
        <x:f>IF(F81="","",IF(F81="Construction","#D73027",IF(F81="Completed","#1A9850",IF(F81="Approval","#4575B4",""))))</x:f>
      </x:c>
      <x:c r="L81" s="24" t="str">
        <x:f>IF(A81="","",A81)</x:f>
      </x:c>
      <x:c r="M81" s="24" t="str">
        <x:f>IF(A81="","","&lt;div style='font-family:Arial,sans-serif;min-width:240px'&gt;&lt;h3 style='margin:0 0 8px 0'&gt;"&amp;A81&amp;" — "&amp;B81&amp;"&lt;/h3&gt;&lt;div&gt;&lt;b&gt;Status:&lt;/b&gt; "&amp;F81&amp;"&lt;/div&gt;&lt;div&gt;&lt;b&gt;Contractor:&lt;/b&gt; "&amp;C81&amp;"&lt;/div&gt;&lt;div&gt;&lt;b&gt;Latitude:&lt;/b&gt; "&amp;TEXT(D81,"0.0000000")&amp;"&lt;/div&gt;&lt;div&gt;&lt;b&gt;Longitude:&lt;/b&gt; "&amp;TEXT(E81,"0.0000000")&amp;"&lt;/div&gt;&lt;/div&gt;")</x:f>
      </x:c>
    </x:row>
    <x:row r="82">
      <x:c r="A82" s="24"/>
      <x:c r="B82" s="24"/>
      <x:c r="C82" s="24"/>
      <x:c r="D82" s="36"/>
      <x:c r="E82" s="36"/>
      <x:c r="F82" s="24"/>
      <x:c r="G82" s="24" t="str">
        <x:f>IF(D82="","",AND(ISNUMBER(D82),D82&gt;=-90,D82&lt;=90))</x:f>
      </x:c>
      <x:c r="H82" s="24" t="str">
        <x:f>IF(E82="","",AND(ISNUMBER(E82),E82&gt;=-180,E82&lt;=180))</x:f>
      </x:c>
      <x:c r="I82" s="24" t="str">
        <x:f>IF(F82="","",COUNTIF(Status_Config!$B$2:$B$50,F82)&gt;0)</x:f>
      </x:c>
      <x:c r="J82" s="24" t="str">
        <x:f>IF(OR(D82="",E82=""),"",TEXT(D82,"0.0000000")&amp;","&amp;TEXT(E82,"0.0000000"))</x:f>
      </x:c>
      <x:c r="K82" s="24" t="str">
        <x:f>IF(F82="","",IF(F82="Construction","#D73027",IF(F82="Completed","#1A9850",IF(F82="Approval","#4575B4",""))))</x:f>
      </x:c>
      <x:c r="L82" s="24" t="str">
        <x:f>IF(A82="","",A82)</x:f>
      </x:c>
      <x:c r="M82" s="24" t="str">
        <x:f>IF(A82="","","&lt;div style='font-family:Arial,sans-serif;min-width:240px'&gt;&lt;h3 style='margin:0 0 8px 0'&gt;"&amp;A82&amp;" — "&amp;B82&amp;"&lt;/h3&gt;&lt;div&gt;&lt;b&gt;Status:&lt;/b&gt; "&amp;F82&amp;"&lt;/div&gt;&lt;div&gt;&lt;b&gt;Contractor:&lt;/b&gt; "&amp;C82&amp;"&lt;/div&gt;&lt;div&gt;&lt;b&gt;Latitude:&lt;/b&gt; "&amp;TEXT(D82,"0.0000000")&amp;"&lt;/div&gt;&lt;div&gt;&lt;b&gt;Longitude:&lt;/b&gt; "&amp;TEXT(E82,"0.0000000")&amp;"&lt;/div&gt;&lt;/div&gt;")</x:f>
      </x:c>
    </x:row>
    <x:row r="83">
      <x:c r="A83" s="24"/>
      <x:c r="B83" s="24"/>
      <x:c r="C83" s="24"/>
      <x:c r="D83" s="36"/>
      <x:c r="E83" s="36"/>
      <x:c r="F83" s="24"/>
      <x:c r="G83" s="24" t="str">
        <x:f>IF(D83="","",AND(ISNUMBER(D83),D83&gt;=-90,D83&lt;=90))</x:f>
      </x:c>
      <x:c r="H83" s="24" t="str">
        <x:f>IF(E83="","",AND(ISNUMBER(E83),E83&gt;=-180,E83&lt;=180))</x:f>
      </x:c>
      <x:c r="I83" s="24" t="str">
        <x:f>IF(F83="","",COUNTIF(Status_Config!$B$2:$B$50,F83)&gt;0)</x:f>
      </x:c>
      <x:c r="J83" s="24" t="str">
        <x:f>IF(OR(D83="",E83=""),"",TEXT(D83,"0.0000000")&amp;","&amp;TEXT(E83,"0.0000000"))</x:f>
      </x:c>
      <x:c r="K83" s="24" t="str">
        <x:f>IF(F83="","",IF(F83="Construction","#D73027",IF(F83="Completed","#1A9850",IF(F83="Approval","#4575B4",""))))</x:f>
      </x:c>
      <x:c r="L83" s="24" t="str">
        <x:f>IF(A83="","",A83)</x:f>
      </x:c>
      <x:c r="M83" s="24" t="str">
        <x:f>IF(A83="","","&lt;div style='font-family:Arial,sans-serif;min-width:240px'&gt;&lt;h3 style='margin:0 0 8px 0'&gt;"&amp;A83&amp;" — "&amp;B83&amp;"&lt;/h3&gt;&lt;div&gt;&lt;b&gt;Status:&lt;/b&gt; "&amp;F83&amp;"&lt;/div&gt;&lt;div&gt;&lt;b&gt;Contractor:&lt;/b&gt; "&amp;C83&amp;"&lt;/div&gt;&lt;div&gt;&lt;b&gt;Latitude:&lt;/b&gt; "&amp;TEXT(D83,"0.0000000")&amp;"&lt;/div&gt;&lt;div&gt;&lt;b&gt;Longitude:&lt;/b&gt; "&amp;TEXT(E83,"0.0000000")&amp;"&lt;/div&gt;&lt;/div&gt;")</x:f>
      </x:c>
    </x:row>
    <x:row r="84">
      <x:c r="A84" s="24"/>
      <x:c r="B84" s="24"/>
      <x:c r="C84" s="24"/>
      <x:c r="D84" s="36"/>
      <x:c r="E84" s="36"/>
      <x:c r="F84" s="24"/>
      <x:c r="G84" s="24" t="str">
        <x:f>IF(D84="","",AND(ISNUMBER(D84),D84&gt;=-90,D84&lt;=90))</x:f>
      </x:c>
      <x:c r="H84" s="24" t="str">
        <x:f>IF(E84="","",AND(ISNUMBER(E84),E84&gt;=-180,E84&lt;=180))</x:f>
      </x:c>
      <x:c r="I84" s="24" t="str">
        <x:f>IF(F84="","",COUNTIF(Status_Config!$B$2:$B$50,F84)&gt;0)</x:f>
      </x:c>
      <x:c r="J84" s="24" t="str">
        <x:f>IF(OR(D84="",E84=""),"",TEXT(D84,"0.0000000")&amp;","&amp;TEXT(E84,"0.0000000"))</x:f>
      </x:c>
      <x:c r="K84" s="24" t="str">
        <x:f>IF(F84="","",IF(F84="Construction","#D73027",IF(F84="Completed","#1A9850",IF(F84="Approval","#4575B4",""))))</x:f>
      </x:c>
      <x:c r="L84" s="24" t="str">
        <x:f>IF(A84="","",A84)</x:f>
      </x:c>
      <x:c r="M84" s="24" t="str">
        <x:f>IF(A84="","","&lt;div style='font-family:Arial,sans-serif;min-width:240px'&gt;&lt;h3 style='margin:0 0 8px 0'&gt;"&amp;A84&amp;" — "&amp;B84&amp;"&lt;/h3&gt;&lt;div&gt;&lt;b&gt;Status:&lt;/b&gt; "&amp;F84&amp;"&lt;/div&gt;&lt;div&gt;&lt;b&gt;Contractor:&lt;/b&gt; "&amp;C84&amp;"&lt;/div&gt;&lt;div&gt;&lt;b&gt;Latitude:&lt;/b&gt; "&amp;TEXT(D84,"0.0000000")&amp;"&lt;/div&gt;&lt;div&gt;&lt;b&gt;Longitude:&lt;/b&gt; "&amp;TEXT(E84,"0.0000000")&amp;"&lt;/div&gt;&lt;/div&gt;")</x:f>
      </x:c>
    </x:row>
    <x:row r="85">
      <x:c r="A85" s="24"/>
      <x:c r="B85" s="24"/>
      <x:c r="C85" s="24"/>
      <x:c r="D85" s="36"/>
      <x:c r="E85" s="36"/>
      <x:c r="F85" s="24"/>
      <x:c r="G85" s="24" t="str">
        <x:f>IF(D85="","",AND(ISNUMBER(D85),D85&gt;=-90,D85&lt;=90))</x:f>
      </x:c>
      <x:c r="H85" s="24" t="str">
        <x:f>IF(E85="","",AND(ISNUMBER(E85),E85&gt;=-180,E85&lt;=180))</x:f>
      </x:c>
      <x:c r="I85" s="24" t="str">
        <x:f>IF(F85="","",COUNTIF(Status_Config!$B$2:$B$50,F85)&gt;0)</x:f>
      </x:c>
      <x:c r="J85" s="24" t="str">
        <x:f>IF(OR(D85="",E85=""),"",TEXT(D85,"0.0000000")&amp;","&amp;TEXT(E85,"0.0000000"))</x:f>
      </x:c>
      <x:c r="K85" s="24" t="str">
        <x:f>IF(F85="","",IF(F85="Construction","#D73027",IF(F85="Completed","#1A9850",IF(F85="Approval","#4575B4",""))))</x:f>
      </x:c>
      <x:c r="L85" s="24" t="str">
        <x:f>IF(A85="","",A85)</x:f>
      </x:c>
      <x:c r="M85" s="24" t="str">
        <x:f>IF(A85="","","&lt;div style='font-family:Arial,sans-serif;min-width:240px'&gt;&lt;h3 style='margin:0 0 8px 0'&gt;"&amp;A85&amp;" — "&amp;B85&amp;"&lt;/h3&gt;&lt;div&gt;&lt;b&gt;Status:&lt;/b&gt; "&amp;F85&amp;"&lt;/div&gt;&lt;div&gt;&lt;b&gt;Contractor:&lt;/b&gt; "&amp;C85&amp;"&lt;/div&gt;&lt;div&gt;&lt;b&gt;Latitude:&lt;/b&gt; "&amp;TEXT(D85,"0.0000000")&amp;"&lt;/div&gt;&lt;div&gt;&lt;b&gt;Longitude:&lt;/b&gt; "&amp;TEXT(E85,"0.0000000")&amp;"&lt;/div&gt;&lt;/div&gt;")</x:f>
      </x:c>
    </x:row>
    <x:row r="86">
      <x:c r="A86" s="24"/>
      <x:c r="B86" s="24"/>
      <x:c r="C86" s="24"/>
      <x:c r="D86" s="36"/>
      <x:c r="E86" s="36"/>
      <x:c r="F86" s="24"/>
      <x:c r="G86" s="24" t="str">
        <x:f>IF(D86="","",AND(ISNUMBER(D86),D86&gt;=-90,D86&lt;=90))</x:f>
      </x:c>
      <x:c r="H86" s="24" t="str">
        <x:f>IF(E86="","",AND(ISNUMBER(E86),E86&gt;=-180,E86&lt;=180))</x:f>
      </x:c>
      <x:c r="I86" s="24" t="str">
        <x:f>IF(F86="","",COUNTIF(Status_Config!$B$2:$B$50,F86)&gt;0)</x:f>
      </x:c>
      <x:c r="J86" s="24" t="str">
        <x:f>IF(OR(D86="",E86=""),"",TEXT(D86,"0.0000000")&amp;","&amp;TEXT(E86,"0.0000000"))</x:f>
      </x:c>
      <x:c r="K86" s="24" t="str">
        <x:f>IF(F86="","",IF(F86="Construction","#D73027",IF(F86="Completed","#1A9850",IF(F86="Approval","#4575B4",""))))</x:f>
      </x:c>
      <x:c r="L86" s="24" t="str">
        <x:f>IF(A86="","",A86)</x:f>
      </x:c>
      <x:c r="M86" s="24" t="str">
        <x:f>IF(A86="","","&lt;div style='font-family:Arial,sans-serif;min-width:240px'&gt;&lt;h3 style='margin:0 0 8px 0'&gt;"&amp;A86&amp;" — "&amp;B86&amp;"&lt;/h3&gt;&lt;div&gt;&lt;b&gt;Status:&lt;/b&gt; "&amp;F86&amp;"&lt;/div&gt;&lt;div&gt;&lt;b&gt;Contractor:&lt;/b&gt; "&amp;C86&amp;"&lt;/div&gt;&lt;div&gt;&lt;b&gt;Latitude:&lt;/b&gt; "&amp;TEXT(D86,"0.0000000")&amp;"&lt;/div&gt;&lt;div&gt;&lt;b&gt;Longitude:&lt;/b&gt; "&amp;TEXT(E86,"0.0000000")&amp;"&lt;/div&gt;&lt;/div&gt;")</x:f>
      </x:c>
    </x:row>
    <x:row r="87">
      <x:c r="A87" s="24"/>
      <x:c r="B87" s="24"/>
      <x:c r="C87" s="24"/>
      <x:c r="D87" s="36"/>
      <x:c r="E87" s="36"/>
      <x:c r="F87" s="24"/>
      <x:c r="G87" s="24" t="str">
        <x:f>IF(D87="","",AND(ISNUMBER(D87),D87&gt;=-90,D87&lt;=90))</x:f>
      </x:c>
      <x:c r="H87" s="24" t="str">
        <x:f>IF(E87="","",AND(ISNUMBER(E87),E87&gt;=-180,E87&lt;=180))</x:f>
      </x:c>
      <x:c r="I87" s="24" t="str">
        <x:f>IF(F87="","",COUNTIF(Status_Config!$B$2:$B$50,F87)&gt;0)</x:f>
      </x:c>
      <x:c r="J87" s="24" t="str">
        <x:f>IF(OR(D87="",E87=""),"",TEXT(D87,"0.0000000")&amp;","&amp;TEXT(E87,"0.0000000"))</x:f>
      </x:c>
      <x:c r="K87" s="24" t="str">
        <x:f>IF(F87="","",IF(F87="Construction","#D73027",IF(F87="Completed","#1A9850",IF(F87="Approval","#4575B4",""))))</x:f>
      </x:c>
      <x:c r="L87" s="24" t="str">
        <x:f>IF(A87="","",A87)</x:f>
      </x:c>
      <x:c r="M87" s="24" t="str">
        <x:f>IF(A87="","","&lt;div style='font-family:Arial,sans-serif;min-width:240px'&gt;&lt;h3 style='margin:0 0 8px 0'&gt;"&amp;A87&amp;" — "&amp;B87&amp;"&lt;/h3&gt;&lt;div&gt;&lt;b&gt;Status:&lt;/b&gt; "&amp;F87&amp;"&lt;/div&gt;&lt;div&gt;&lt;b&gt;Contractor:&lt;/b&gt; "&amp;C87&amp;"&lt;/div&gt;&lt;div&gt;&lt;b&gt;Latitude:&lt;/b&gt; "&amp;TEXT(D87,"0.0000000")&amp;"&lt;/div&gt;&lt;div&gt;&lt;b&gt;Longitude:&lt;/b&gt; "&amp;TEXT(E87,"0.0000000")&amp;"&lt;/div&gt;&lt;/div&gt;")</x:f>
      </x:c>
    </x:row>
    <x:row r="88">
      <x:c r="A88" s="24"/>
      <x:c r="B88" s="24"/>
      <x:c r="C88" s="24"/>
      <x:c r="D88" s="36"/>
      <x:c r="E88" s="36"/>
      <x:c r="F88" s="24"/>
      <x:c r="G88" s="24" t="str">
        <x:f>IF(D88="","",AND(ISNUMBER(D88),D88&gt;=-90,D88&lt;=90))</x:f>
      </x:c>
      <x:c r="H88" s="24" t="str">
        <x:f>IF(E88="","",AND(ISNUMBER(E88),E88&gt;=-180,E88&lt;=180))</x:f>
      </x:c>
      <x:c r="I88" s="24" t="str">
        <x:f>IF(F88="","",COUNTIF(Status_Config!$B$2:$B$50,F88)&gt;0)</x:f>
      </x:c>
      <x:c r="J88" s="24" t="str">
        <x:f>IF(OR(D88="",E88=""),"",TEXT(D88,"0.0000000")&amp;","&amp;TEXT(E88,"0.0000000"))</x:f>
      </x:c>
      <x:c r="K88" s="24" t="str">
        <x:f>IF(F88="","",IF(F88="Construction","#D73027",IF(F88="Completed","#1A9850",IF(F88="Approval","#4575B4",""))))</x:f>
      </x:c>
      <x:c r="L88" s="24" t="str">
        <x:f>IF(A88="","",A88)</x:f>
      </x:c>
      <x:c r="M88" s="24" t="str">
        <x:f>IF(A88="","","&lt;div style='font-family:Arial,sans-serif;min-width:240px'&gt;&lt;h3 style='margin:0 0 8px 0'&gt;"&amp;A88&amp;" — "&amp;B88&amp;"&lt;/h3&gt;&lt;div&gt;&lt;b&gt;Status:&lt;/b&gt; "&amp;F88&amp;"&lt;/div&gt;&lt;div&gt;&lt;b&gt;Contractor:&lt;/b&gt; "&amp;C88&amp;"&lt;/div&gt;&lt;div&gt;&lt;b&gt;Latitude:&lt;/b&gt; "&amp;TEXT(D88,"0.0000000")&amp;"&lt;/div&gt;&lt;div&gt;&lt;b&gt;Longitude:&lt;/b&gt; "&amp;TEXT(E88,"0.0000000")&amp;"&lt;/div&gt;&lt;/div&gt;")</x:f>
      </x:c>
    </x:row>
    <x:row r="89">
      <x:c r="A89" s="24"/>
      <x:c r="B89" s="24"/>
      <x:c r="C89" s="24"/>
      <x:c r="D89" s="36"/>
      <x:c r="E89" s="36"/>
      <x:c r="F89" s="24"/>
      <x:c r="G89" s="24" t="str">
        <x:f>IF(D89="","",AND(ISNUMBER(D89),D89&gt;=-90,D89&lt;=90))</x:f>
      </x:c>
      <x:c r="H89" s="24" t="str">
        <x:f>IF(E89="","",AND(ISNUMBER(E89),E89&gt;=-180,E89&lt;=180))</x:f>
      </x:c>
      <x:c r="I89" s="24" t="str">
        <x:f>IF(F89="","",COUNTIF(Status_Config!$B$2:$B$50,F89)&gt;0)</x:f>
      </x:c>
      <x:c r="J89" s="24" t="str">
        <x:f>IF(OR(D89="",E89=""),"",TEXT(D89,"0.0000000")&amp;","&amp;TEXT(E89,"0.0000000"))</x:f>
      </x:c>
      <x:c r="K89" s="24" t="str">
        <x:f>IF(F89="","",IF(F89="Construction","#D73027",IF(F89="Completed","#1A9850",IF(F89="Approval","#4575B4",""))))</x:f>
      </x:c>
      <x:c r="L89" s="24" t="str">
        <x:f>IF(A89="","",A89)</x:f>
      </x:c>
      <x:c r="M89" s="24" t="str">
        <x:f>IF(A89="","","&lt;div style='font-family:Arial,sans-serif;min-width:240px'&gt;&lt;h3 style='margin:0 0 8px 0'&gt;"&amp;A89&amp;" — "&amp;B89&amp;"&lt;/h3&gt;&lt;div&gt;&lt;b&gt;Status:&lt;/b&gt; "&amp;F89&amp;"&lt;/div&gt;&lt;div&gt;&lt;b&gt;Contractor:&lt;/b&gt; "&amp;C89&amp;"&lt;/div&gt;&lt;div&gt;&lt;b&gt;Latitude:&lt;/b&gt; "&amp;TEXT(D89,"0.0000000")&amp;"&lt;/div&gt;&lt;div&gt;&lt;b&gt;Longitude:&lt;/b&gt; "&amp;TEXT(E89,"0.0000000")&amp;"&lt;/div&gt;&lt;/div&gt;")</x:f>
      </x:c>
    </x:row>
    <x:row r="90">
      <x:c r="A90" s="24"/>
      <x:c r="B90" s="24"/>
      <x:c r="C90" s="24"/>
      <x:c r="D90" s="36"/>
      <x:c r="E90" s="36"/>
      <x:c r="F90" s="24"/>
      <x:c r="G90" s="24" t="str">
        <x:f>IF(D90="","",AND(ISNUMBER(D90),D90&gt;=-90,D90&lt;=90))</x:f>
      </x:c>
      <x:c r="H90" s="24" t="str">
        <x:f>IF(E90="","",AND(ISNUMBER(E90),E90&gt;=-180,E90&lt;=180))</x:f>
      </x:c>
      <x:c r="I90" s="24" t="str">
        <x:f>IF(F90="","",COUNTIF(Status_Config!$B$2:$B$50,F90)&gt;0)</x:f>
      </x:c>
      <x:c r="J90" s="24" t="str">
        <x:f>IF(OR(D90="",E90=""),"",TEXT(D90,"0.0000000")&amp;","&amp;TEXT(E90,"0.0000000"))</x:f>
      </x:c>
      <x:c r="K90" s="24" t="str">
        <x:f>IF(F90="","",IF(F90="Construction","#D73027",IF(F90="Completed","#1A9850",IF(F90="Approval","#4575B4",""))))</x:f>
      </x:c>
      <x:c r="L90" s="24" t="str">
        <x:f>IF(A90="","",A90)</x:f>
      </x:c>
      <x:c r="M90" s="24" t="str">
        <x:f>IF(A90="","","&lt;div style='font-family:Arial,sans-serif;min-width:240px'&gt;&lt;h3 style='margin:0 0 8px 0'&gt;"&amp;A90&amp;" — "&amp;B90&amp;"&lt;/h3&gt;&lt;div&gt;&lt;b&gt;Status:&lt;/b&gt; "&amp;F90&amp;"&lt;/div&gt;&lt;div&gt;&lt;b&gt;Contractor:&lt;/b&gt; "&amp;C90&amp;"&lt;/div&gt;&lt;div&gt;&lt;b&gt;Latitude:&lt;/b&gt; "&amp;TEXT(D90,"0.0000000")&amp;"&lt;/div&gt;&lt;div&gt;&lt;b&gt;Longitude:&lt;/b&gt; "&amp;TEXT(E90,"0.0000000")&amp;"&lt;/div&gt;&lt;/div&gt;")</x:f>
      </x:c>
    </x:row>
    <x:row r="91">
      <x:c r="A91" s="24"/>
      <x:c r="B91" s="24"/>
      <x:c r="C91" s="24"/>
      <x:c r="D91" s="36"/>
      <x:c r="E91" s="36"/>
      <x:c r="F91" s="24"/>
      <x:c r="G91" s="24" t="str">
        <x:f>IF(D91="","",AND(ISNUMBER(D91),D91&gt;=-90,D91&lt;=90))</x:f>
      </x:c>
      <x:c r="H91" s="24" t="str">
        <x:f>IF(E91="","",AND(ISNUMBER(E91),E91&gt;=-180,E91&lt;=180))</x:f>
      </x:c>
      <x:c r="I91" s="24" t="str">
        <x:f>IF(F91="","",COUNTIF(Status_Config!$B$2:$B$50,F91)&gt;0)</x:f>
      </x:c>
      <x:c r="J91" s="24" t="str">
        <x:f>IF(OR(D91="",E91=""),"",TEXT(D91,"0.0000000")&amp;","&amp;TEXT(E91,"0.0000000"))</x:f>
      </x:c>
      <x:c r="K91" s="24" t="str">
        <x:f>IF(F91="","",IF(F91="Construction","#D73027",IF(F91="Completed","#1A9850",IF(F91="Approval","#4575B4",""))))</x:f>
      </x:c>
      <x:c r="L91" s="24" t="str">
        <x:f>IF(A91="","",A91)</x:f>
      </x:c>
      <x:c r="M91" s="24" t="str">
        <x:f>IF(A91="","","&lt;div style='font-family:Arial,sans-serif;min-width:240px'&gt;&lt;h3 style='margin:0 0 8px 0'&gt;"&amp;A91&amp;" — "&amp;B91&amp;"&lt;/h3&gt;&lt;div&gt;&lt;b&gt;Status:&lt;/b&gt; "&amp;F91&amp;"&lt;/div&gt;&lt;div&gt;&lt;b&gt;Contractor:&lt;/b&gt; "&amp;C91&amp;"&lt;/div&gt;&lt;div&gt;&lt;b&gt;Latitude:&lt;/b&gt; "&amp;TEXT(D91,"0.0000000")&amp;"&lt;/div&gt;&lt;div&gt;&lt;b&gt;Longitude:&lt;/b&gt; "&amp;TEXT(E91,"0.0000000")&amp;"&lt;/div&gt;&lt;/div&gt;")</x:f>
      </x:c>
    </x:row>
    <x:row r="92">
      <x:c r="A92" s="24"/>
      <x:c r="B92" s="24"/>
      <x:c r="C92" s="24"/>
      <x:c r="D92" s="36"/>
      <x:c r="E92" s="36"/>
      <x:c r="F92" s="24"/>
      <x:c r="G92" s="24" t="str">
        <x:f>IF(D92="","",AND(ISNUMBER(D92),D92&gt;=-90,D92&lt;=90))</x:f>
      </x:c>
      <x:c r="H92" s="24" t="str">
        <x:f>IF(E92="","",AND(ISNUMBER(E92),E92&gt;=-180,E92&lt;=180))</x:f>
      </x:c>
      <x:c r="I92" s="24" t="str">
        <x:f>IF(F92="","",COUNTIF(Status_Config!$B$2:$B$50,F92)&gt;0)</x:f>
      </x:c>
      <x:c r="J92" s="24" t="str">
        <x:f>IF(OR(D92="",E92=""),"",TEXT(D92,"0.0000000")&amp;","&amp;TEXT(E92,"0.0000000"))</x:f>
      </x:c>
      <x:c r="K92" s="24" t="str">
        <x:f>IF(F92="","",IF(F92="Construction","#D73027",IF(F92="Completed","#1A9850",IF(F92="Approval","#4575B4",""))))</x:f>
      </x:c>
      <x:c r="L92" s="24" t="str">
        <x:f>IF(A92="","",A92)</x:f>
      </x:c>
      <x:c r="M92" s="24" t="str">
        <x:f>IF(A92="","","&lt;div style='font-family:Arial,sans-serif;min-width:240px'&gt;&lt;h3 style='margin:0 0 8px 0'&gt;"&amp;A92&amp;" — "&amp;B92&amp;"&lt;/h3&gt;&lt;div&gt;&lt;b&gt;Status:&lt;/b&gt; "&amp;F92&amp;"&lt;/div&gt;&lt;div&gt;&lt;b&gt;Contractor:&lt;/b&gt; "&amp;C92&amp;"&lt;/div&gt;&lt;div&gt;&lt;b&gt;Latitude:&lt;/b&gt; "&amp;TEXT(D92,"0.0000000")&amp;"&lt;/div&gt;&lt;div&gt;&lt;b&gt;Longitude:&lt;/b&gt; "&amp;TEXT(E92,"0.0000000")&amp;"&lt;/div&gt;&lt;/div&gt;")</x:f>
      </x:c>
    </x:row>
    <x:row r="93">
      <x:c r="A93" s="24"/>
      <x:c r="B93" s="24"/>
      <x:c r="C93" s="24"/>
      <x:c r="D93" s="36"/>
      <x:c r="E93" s="36"/>
      <x:c r="F93" s="24"/>
      <x:c r="G93" s="24" t="str">
        <x:f>IF(D93="","",AND(ISNUMBER(D93),D93&gt;=-90,D93&lt;=90))</x:f>
      </x:c>
      <x:c r="H93" s="24" t="str">
        <x:f>IF(E93="","",AND(ISNUMBER(E93),E93&gt;=-180,E93&lt;=180))</x:f>
      </x:c>
      <x:c r="I93" s="24" t="str">
        <x:f>IF(F93="","",COUNTIF(Status_Config!$B$2:$B$50,F93)&gt;0)</x:f>
      </x:c>
      <x:c r="J93" s="24" t="str">
        <x:f>IF(OR(D93="",E93=""),"",TEXT(D93,"0.0000000")&amp;","&amp;TEXT(E93,"0.0000000"))</x:f>
      </x:c>
      <x:c r="K93" s="24" t="str">
        <x:f>IF(F93="","",IF(F93="Construction","#D73027",IF(F93="Completed","#1A9850",IF(F93="Approval","#4575B4",""))))</x:f>
      </x:c>
      <x:c r="L93" s="24" t="str">
        <x:f>IF(A93="","",A93)</x:f>
      </x:c>
      <x:c r="M93" s="24" t="str">
        <x:f>IF(A93="","","&lt;div style='font-family:Arial,sans-serif;min-width:240px'&gt;&lt;h3 style='margin:0 0 8px 0'&gt;"&amp;A93&amp;" — "&amp;B93&amp;"&lt;/h3&gt;&lt;div&gt;&lt;b&gt;Status:&lt;/b&gt; "&amp;F93&amp;"&lt;/div&gt;&lt;div&gt;&lt;b&gt;Contractor:&lt;/b&gt; "&amp;C93&amp;"&lt;/div&gt;&lt;div&gt;&lt;b&gt;Latitude:&lt;/b&gt; "&amp;TEXT(D93,"0.0000000")&amp;"&lt;/div&gt;&lt;div&gt;&lt;b&gt;Longitude:&lt;/b&gt; "&amp;TEXT(E93,"0.0000000")&amp;"&lt;/div&gt;&lt;/div&gt;")</x:f>
      </x:c>
    </x:row>
    <x:row r="94">
      <x:c r="A94" s="24"/>
      <x:c r="B94" s="24"/>
      <x:c r="C94" s="24"/>
      <x:c r="D94" s="36"/>
      <x:c r="E94" s="36"/>
      <x:c r="F94" s="24"/>
      <x:c r="G94" s="24" t="str">
        <x:f>IF(D94="","",AND(ISNUMBER(D94),D94&gt;=-90,D94&lt;=90))</x:f>
      </x:c>
      <x:c r="H94" s="24" t="str">
        <x:f>IF(E94="","",AND(ISNUMBER(E94),E94&gt;=-180,E94&lt;=180))</x:f>
      </x:c>
      <x:c r="I94" s="24" t="str">
        <x:f>IF(F94="","",COUNTIF(Status_Config!$B$2:$B$50,F94)&gt;0)</x:f>
      </x:c>
      <x:c r="J94" s="24" t="str">
        <x:f>IF(OR(D94="",E94=""),"",TEXT(D94,"0.0000000")&amp;","&amp;TEXT(E94,"0.0000000"))</x:f>
      </x:c>
      <x:c r="K94" s="24" t="str">
        <x:f>IF(F94="","",IF(F94="Construction","#D73027",IF(F94="Completed","#1A9850",IF(F94="Approval","#4575B4",""))))</x:f>
      </x:c>
      <x:c r="L94" s="24" t="str">
        <x:f>IF(A94="","",A94)</x:f>
      </x:c>
      <x:c r="M94" s="24" t="str">
        <x:f>IF(A94="","","&lt;div style='font-family:Arial,sans-serif;min-width:240px'&gt;&lt;h3 style='margin:0 0 8px 0'&gt;"&amp;A94&amp;" — "&amp;B94&amp;"&lt;/h3&gt;&lt;div&gt;&lt;b&gt;Status:&lt;/b&gt; "&amp;F94&amp;"&lt;/div&gt;&lt;div&gt;&lt;b&gt;Contractor:&lt;/b&gt; "&amp;C94&amp;"&lt;/div&gt;&lt;div&gt;&lt;b&gt;Latitude:&lt;/b&gt; "&amp;TEXT(D94,"0.0000000")&amp;"&lt;/div&gt;&lt;div&gt;&lt;b&gt;Longitude:&lt;/b&gt; "&amp;TEXT(E94,"0.0000000")&amp;"&lt;/div&gt;&lt;/div&gt;")</x:f>
      </x:c>
    </x:row>
    <x:row r="95">
      <x:c r="A95" s="24"/>
      <x:c r="B95" s="24"/>
      <x:c r="C95" s="24"/>
      <x:c r="D95" s="36"/>
      <x:c r="E95" s="36"/>
      <x:c r="F95" s="24"/>
      <x:c r="G95" s="24" t="str">
        <x:f>IF(D95="","",AND(ISNUMBER(D95),D95&gt;=-90,D95&lt;=90))</x:f>
      </x:c>
      <x:c r="H95" s="24" t="str">
        <x:f>IF(E95="","",AND(ISNUMBER(E95),E95&gt;=-180,E95&lt;=180))</x:f>
      </x:c>
      <x:c r="I95" s="24" t="str">
        <x:f>IF(F95="","",COUNTIF(Status_Config!$B$2:$B$50,F95)&gt;0)</x:f>
      </x:c>
      <x:c r="J95" s="24" t="str">
        <x:f>IF(OR(D95="",E95=""),"",TEXT(D95,"0.0000000")&amp;","&amp;TEXT(E95,"0.0000000"))</x:f>
      </x:c>
      <x:c r="K95" s="24" t="str">
        <x:f>IF(F95="","",IF(F95="Construction","#D73027",IF(F95="Completed","#1A9850",IF(F95="Approval","#4575B4",""))))</x:f>
      </x:c>
      <x:c r="L95" s="24" t="str">
        <x:f>IF(A95="","",A95)</x:f>
      </x:c>
      <x:c r="M95" s="24" t="str">
        <x:f>IF(A95="","","&lt;div style='font-family:Arial,sans-serif;min-width:240px'&gt;&lt;h3 style='margin:0 0 8px 0'&gt;"&amp;A95&amp;" — "&amp;B95&amp;"&lt;/h3&gt;&lt;div&gt;&lt;b&gt;Status:&lt;/b&gt; "&amp;F95&amp;"&lt;/div&gt;&lt;div&gt;&lt;b&gt;Contractor:&lt;/b&gt; "&amp;C95&amp;"&lt;/div&gt;&lt;div&gt;&lt;b&gt;Latitude:&lt;/b&gt; "&amp;TEXT(D95,"0.0000000")&amp;"&lt;/div&gt;&lt;div&gt;&lt;b&gt;Longitude:&lt;/b&gt; "&amp;TEXT(E95,"0.0000000")&amp;"&lt;/div&gt;&lt;/div&gt;")</x:f>
      </x:c>
    </x:row>
    <x:row r="96">
      <x:c r="A96" s="24"/>
      <x:c r="B96" s="24"/>
      <x:c r="C96" s="24"/>
      <x:c r="D96" s="36"/>
      <x:c r="E96" s="36"/>
      <x:c r="F96" s="24"/>
      <x:c r="G96" s="24" t="str">
        <x:f>IF(D96="","",AND(ISNUMBER(D96),D96&gt;=-90,D96&lt;=90))</x:f>
      </x:c>
      <x:c r="H96" s="24" t="str">
        <x:f>IF(E96="","",AND(ISNUMBER(E96),E96&gt;=-180,E96&lt;=180))</x:f>
      </x:c>
      <x:c r="I96" s="24" t="str">
        <x:f>IF(F96="","",COUNTIF(Status_Config!$B$2:$B$50,F96)&gt;0)</x:f>
      </x:c>
      <x:c r="J96" s="24" t="str">
        <x:f>IF(OR(D96="",E96=""),"",TEXT(D96,"0.0000000")&amp;","&amp;TEXT(E96,"0.0000000"))</x:f>
      </x:c>
      <x:c r="K96" s="24" t="str">
        <x:f>IF(F96="","",IF(F96="Construction","#D73027",IF(F96="Completed","#1A9850",IF(F96="Approval","#4575B4",""))))</x:f>
      </x:c>
      <x:c r="L96" s="24" t="str">
        <x:f>IF(A96="","",A96)</x:f>
      </x:c>
      <x:c r="M96" s="24" t="str">
        <x:f>IF(A96="","","&lt;div style='font-family:Arial,sans-serif;min-width:240px'&gt;&lt;h3 style='margin:0 0 8px 0'&gt;"&amp;A96&amp;" — "&amp;B96&amp;"&lt;/h3&gt;&lt;div&gt;&lt;b&gt;Status:&lt;/b&gt; "&amp;F96&amp;"&lt;/div&gt;&lt;div&gt;&lt;b&gt;Contractor:&lt;/b&gt; "&amp;C96&amp;"&lt;/div&gt;&lt;div&gt;&lt;b&gt;Latitude:&lt;/b&gt; "&amp;TEXT(D96,"0.0000000")&amp;"&lt;/div&gt;&lt;div&gt;&lt;b&gt;Longitude:&lt;/b&gt; "&amp;TEXT(E96,"0.0000000")&amp;"&lt;/div&gt;&lt;/div&gt;")</x:f>
      </x:c>
    </x:row>
    <x:row r="97">
      <x:c r="A97" s="24"/>
      <x:c r="B97" s="24"/>
      <x:c r="C97" s="24"/>
      <x:c r="D97" s="36"/>
      <x:c r="E97" s="36"/>
      <x:c r="F97" s="24"/>
      <x:c r="G97" s="24" t="str">
        <x:f>IF(D97="","",AND(ISNUMBER(D97),D97&gt;=-90,D97&lt;=90))</x:f>
      </x:c>
      <x:c r="H97" s="24" t="str">
        <x:f>IF(E97="","",AND(ISNUMBER(E97),E97&gt;=-180,E97&lt;=180))</x:f>
      </x:c>
      <x:c r="I97" s="24" t="str">
        <x:f>IF(F97="","",COUNTIF(Status_Config!$B$2:$B$50,F97)&gt;0)</x:f>
      </x:c>
      <x:c r="J97" s="24" t="str">
        <x:f>IF(OR(D97="",E97=""),"",TEXT(D97,"0.0000000")&amp;","&amp;TEXT(E97,"0.0000000"))</x:f>
      </x:c>
      <x:c r="K97" s="24" t="str">
        <x:f>IF(F97="","",IF(F97="Construction","#D73027",IF(F97="Completed","#1A9850",IF(F97="Approval","#4575B4",""))))</x:f>
      </x:c>
      <x:c r="L97" s="24" t="str">
        <x:f>IF(A97="","",A97)</x:f>
      </x:c>
      <x:c r="M97" s="24" t="str">
        <x:f>IF(A97="","","&lt;div style='font-family:Arial,sans-serif;min-width:240px'&gt;&lt;h3 style='margin:0 0 8px 0'&gt;"&amp;A97&amp;" — "&amp;B97&amp;"&lt;/h3&gt;&lt;div&gt;&lt;b&gt;Status:&lt;/b&gt; "&amp;F97&amp;"&lt;/div&gt;&lt;div&gt;&lt;b&gt;Contractor:&lt;/b&gt; "&amp;C97&amp;"&lt;/div&gt;&lt;div&gt;&lt;b&gt;Latitude:&lt;/b&gt; "&amp;TEXT(D97,"0.0000000")&amp;"&lt;/div&gt;&lt;div&gt;&lt;b&gt;Longitude:&lt;/b&gt; "&amp;TEXT(E97,"0.0000000")&amp;"&lt;/div&gt;&lt;/div&gt;")</x:f>
      </x:c>
    </x:row>
    <x:row r="98">
      <x:c r="A98" s="24"/>
      <x:c r="B98" s="24"/>
      <x:c r="C98" s="24"/>
      <x:c r="D98" s="36"/>
      <x:c r="E98" s="36"/>
      <x:c r="F98" s="24"/>
      <x:c r="G98" s="24" t="str">
        <x:f>IF(D98="","",AND(ISNUMBER(D98),D98&gt;=-90,D98&lt;=90))</x:f>
      </x:c>
      <x:c r="H98" s="24" t="str">
        <x:f>IF(E98="","",AND(ISNUMBER(E98),E98&gt;=-180,E98&lt;=180))</x:f>
      </x:c>
      <x:c r="I98" s="24" t="str">
        <x:f>IF(F98="","",COUNTIF(Status_Config!$B$2:$B$50,F98)&gt;0)</x:f>
      </x:c>
      <x:c r="J98" s="24" t="str">
        <x:f>IF(OR(D98="",E98=""),"",TEXT(D98,"0.0000000")&amp;","&amp;TEXT(E98,"0.0000000"))</x:f>
      </x:c>
      <x:c r="K98" s="24" t="str">
        <x:f>IF(F98="","",IF(F98="Construction","#D73027",IF(F98="Completed","#1A9850",IF(F98="Approval","#4575B4",""))))</x:f>
      </x:c>
      <x:c r="L98" s="24" t="str">
        <x:f>IF(A98="","",A98)</x:f>
      </x:c>
      <x:c r="M98" s="24" t="str">
        <x:f>IF(A98="","","&lt;div style='font-family:Arial,sans-serif;min-width:240px'&gt;&lt;h3 style='margin:0 0 8px 0'&gt;"&amp;A98&amp;" — "&amp;B98&amp;"&lt;/h3&gt;&lt;div&gt;&lt;b&gt;Status:&lt;/b&gt; "&amp;F98&amp;"&lt;/div&gt;&lt;div&gt;&lt;b&gt;Contractor:&lt;/b&gt; "&amp;C98&amp;"&lt;/div&gt;&lt;div&gt;&lt;b&gt;Latitude:&lt;/b&gt; "&amp;TEXT(D98,"0.0000000")&amp;"&lt;/div&gt;&lt;div&gt;&lt;b&gt;Longitude:&lt;/b&gt; "&amp;TEXT(E98,"0.0000000")&amp;"&lt;/div&gt;&lt;/div&gt;")</x:f>
      </x:c>
    </x:row>
    <x:row r="99">
      <x:c r="A99" s="24"/>
      <x:c r="B99" s="24"/>
      <x:c r="C99" s="24"/>
      <x:c r="D99" s="36"/>
      <x:c r="E99" s="36"/>
      <x:c r="F99" s="24"/>
      <x:c r="G99" s="24" t="str">
        <x:f>IF(D99="","",AND(ISNUMBER(D99),D99&gt;=-90,D99&lt;=90))</x:f>
      </x:c>
      <x:c r="H99" s="24" t="str">
        <x:f>IF(E99="","",AND(ISNUMBER(E99),E99&gt;=-180,E99&lt;=180))</x:f>
      </x:c>
      <x:c r="I99" s="24" t="str">
        <x:f>IF(F99="","",COUNTIF(Status_Config!$B$2:$B$50,F99)&gt;0)</x:f>
      </x:c>
      <x:c r="J99" s="24" t="str">
        <x:f>IF(OR(D99="",E99=""),"",TEXT(D99,"0.0000000")&amp;","&amp;TEXT(E99,"0.0000000"))</x:f>
      </x:c>
      <x:c r="K99" s="24" t="str">
        <x:f>IF(F99="","",IF(F99="Construction","#D73027",IF(F99="Completed","#1A9850",IF(F99="Approval","#4575B4",""))))</x:f>
      </x:c>
      <x:c r="L99" s="24" t="str">
        <x:f>IF(A99="","",A99)</x:f>
      </x:c>
      <x:c r="M99" s="24" t="str">
        <x:f>IF(A99="","","&lt;div style='font-family:Arial,sans-serif;min-width:240px'&gt;&lt;h3 style='margin:0 0 8px 0'&gt;"&amp;A99&amp;" — "&amp;B99&amp;"&lt;/h3&gt;&lt;div&gt;&lt;b&gt;Status:&lt;/b&gt; "&amp;F99&amp;"&lt;/div&gt;&lt;div&gt;&lt;b&gt;Contractor:&lt;/b&gt; "&amp;C99&amp;"&lt;/div&gt;&lt;div&gt;&lt;b&gt;Latitude:&lt;/b&gt; "&amp;TEXT(D99,"0.0000000")&amp;"&lt;/div&gt;&lt;div&gt;&lt;b&gt;Longitude:&lt;/b&gt; "&amp;TEXT(E99,"0.0000000")&amp;"&lt;/div&gt;&lt;/div&gt;")</x:f>
      </x:c>
    </x:row>
    <x:row r="100">
      <x:c r="A100" s="24"/>
      <x:c r="B100" s="24"/>
      <x:c r="C100" s="24"/>
      <x:c r="D100" s="36"/>
      <x:c r="E100" s="36"/>
      <x:c r="F100" s="24"/>
      <x:c r="G100" s="24" t="str">
        <x:f>IF(D100="","",AND(ISNUMBER(D100),D100&gt;=-90,D100&lt;=90))</x:f>
      </x:c>
      <x:c r="H100" s="24" t="str">
        <x:f>IF(E100="","",AND(ISNUMBER(E100),E100&gt;=-180,E100&lt;=180))</x:f>
      </x:c>
      <x:c r="I100" s="24" t="str">
        <x:f>IF(F100="","",COUNTIF(Status_Config!$B$2:$B$50,F100)&gt;0)</x:f>
      </x:c>
      <x:c r="J100" s="24" t="str">
        <x:f>IF(OR(D100="",E100=""),"",TEXT(D100,"0.0000000")&amp;","&amp;TEXT(E100,"0.0000000"))</x:f>
      </x:c>
      <x:c r="K100" s="24" t="str">
        <x:f>IF(F100="","",IF(F100="Construction","#D73027",IF(F100="Completed","#1A9850",IF(F100="Approval","#4575B4",""))))</x:f>
      </x:c>
      <x:c r="L100" s="24" t="str">
        <x:f>IF(A100="","",A100)</x:f>
      </x:c>
      <x:c r="M100" s="24" t="str">
        <x:f>IF(A100="","","&lt;div style='font-family:Arial,sans-serif;min-width:240px'&gt;&lt;h3 style='margin:0 0 8px 0'&gt;"&amp;A100&amp;" — "&amp;B100&amp;"&lt;/h3&gt;&lt;div&gt;&lt;b&gt;Status:&lt;/b&gt; "&amp;F100&amp;"&lt;/div&gt;&lt;div&gt;&lt;b&gt;Contractor:&lt;/b&gt; "&amp;C100&amp;"&lt;/div&gt;&lt;div&gt;&lt;b&gt;Latitude:&lt;/b&gt; "&amp;TEXT(D100,"0.0000000")&amp;"&lt;/div&gt;&lt;div&gt;&lt;b&gt;Longitude:&lt;/b&gt; "&amp;TEXT(E100,"0.0000000")&amp;"&lt;/div&gt;&lt;/div&gt;")</x:f>
      </x:c>
    </x:row>
    <x:row r="101">
      <x:c r="A101" s="24"/>
      <x:c r="B101" s="24"/>
      <x:c r="C101" s="24"/>
      <x:c r="D101" s="36"/>
      <x:c r="E101" s="36"/>
      <x:c r="F101" s="24"/>
      <x:c r="G101" s="24" t="str">
        <x:f>IF(D101="","",AND(ISNUMBER(D101),D101&gt;=-90,D101&lt;=90))</x:f>
      </x:c>
      <x:c r="H101" s="24" t="str">
        <x:f>IF(E101="","",AND(ISNUMBER(E101),E101&gt;=-180,E101&lt;=180))</x:f>
      </x:c>
      <x:c r="I101" s="24" t="str">
        <x:f>IF(F101="","",COUNTIF(Status_Config!$B$2:$B$50,F101)&gt;0)</x:f>
      </x:c>
      <x:c r="J101" s="24" t="str">
        <x:f>IF(OR(D101="",E101=""),"",TEXT(D101,"0.0000000")&amp;","&amp;TEXT(E101,"0.0000000"))</x:f>
      </x:c>
      <x:c r="K101" s="24" t="str">
        <x:f>IF(F101="","",IF(F101="Construction","#D73027",IF(F101="Completed","#1A9850",IF(F101="Approval","#4575B4",""))))</x:f>
      </x:c>
      <x:c r="L101" s="24" t="str">
        <x:f>IF(A101="","",A101)</x:f>
      </x:c>
      <x:c r="M101" s="24" t="str">
        <x:f>IF(A101="","","&lt;div style='font-family:Arial,sans-serif;min-width:240px'&gt;&lt;h3 style='margin:0 0 8px 0'&gt;"&amp;A101&amp;" — "&amp;B101&amp;"&lt;/h3&gt;&lt;div&gt;&lt;b&gt;Status:&lt;/b&gt; "&amp;F101&amp;"&lt;/div&gt;&lt;div&gt;&lt;b&gt;Contractor:&lt;/b&gt; "&amp;C101&amp;"&lt;/div&gt;&lt;div&gt;&lt;b&gt;Latitude:&lt;/b&gt; "&amp;TEXT(D101,"0.0000000")&amp;"&lt;/div&gt;&lt;div&gt;&lt;b&gt;Longitude:&lt;/b&gt; "&amp;TEXT(E101,"0.0000000")&amp;"&lt;/div&gt;&lt;/div&gt;")</x:f>
      </x:c>
    </x:row>
  </x:sheetData>
  <x:conditionalFormatting sqref="G2:G101">
    <x:cfRule type="expression" dxfId="0" priority="1">
      <x:formula>G2=FALSE</x:formula>
    </x:cfRule>
  </x:conditionalFormatting>
  <x:conditionalFormatting sqref="H2:H101">
    <x:cfRule type="expression" dxfId="1" priority="2">
      <x:formula>H2=FALSE</x:formula>
    </x:cfRule>
  </x:conditionalFormatting>
  <x:conditionalFormatting sqref="I2:I101">
    <x:cfRule type="expression" dxfId="2" priority="3">
      <x:formula>I2=FALSE</x:formula>
    </x:cfRule>
  </x:conditionalFormatting>
  <x:dataValidations count="1">
    <x:dataValidation type="list" sqref="F2:F101">
      <x:formula1>Status_Config!$B$2:$B$4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fd9de14d5048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5" hidden="0" customWidth="1"/>
    <x:col min="7" max="7" width="14" hidden="0" customWidth="1"/>
    <x:col min="8" max="8" width="34" hidden="0" customWidth="1"/>
  </x:cols>
  <x:sheetData>
    <x:row r="1">
      <x:c r="A1" s="12" t="str">
        <x:v>Status_Code</x:v>
      </x:c>
      <x:c r="B1" s="12" t="str">
        <x:v>Status_Name</x:v>
      </x:c>
      <x:c r="C1" s="12" t="str">
        <x:v>Marker_Color_Hex</x:v>
      </x:c>
      <x:c r="D1" s="12" t="str">
        <x:v>Line_Color_Hex</x:v>
      </x:c>
      <x:c r="E1" s="12" t="str">
        <x:v>Marker_Radius_px</x:v>
      </x:c>
      <x:c r="F1" s="12" t="str">
        <x:v>Fill_Opacity</x:v>
      </x:c>
      <x:c r="G1" s="12" t="str">
        <x:v>Legend_Order</x:v>
      </x:c>
      <x:c r="H1" s="12" t="str">
        <x:v>Description</x:v>
      </x:c>
    </x:row>
    <x:row r="2">
      <x:c r="A2" s="24" t="str">
        <x:v>CON</x:v>
      </x:c>
      <x:c r="B2" s="24" t="str">
        <x:v>Construction</x:v>
      </x:c>
      <x:c r="C2" s="24" t="str">
        <x:v>#D73027</x:v>
      </x:c>
      <x:c r="D2" s="24" t="str">
        <x:v>#D73027</x:v>
      </x:c>
      <x:c r="E2" s="24" t="n">
        <x:v>9</x:v>
      </x:c>
      <x:c r="F2" s="24" t="n">
        <x:v>0.9</x:v>
      </x:c>
      <x:c r="G2" s="24" t="n">
        <x:v>1</x:v>
      </x:c>
      <x:c r="H2" s="24" t="str">
        <x:v>Active construction project</x:v>
      </x:c>
    </x:row>
    <x:row r="3">
      <x:c r="A3" s="24" t="str">
        <x:v>COM</x:v>
      </x:c>
      <x:c r="B3" s="24" t="str">
        <x:v>Completed</x:v>
      </x:c>
      <x:c r="C3" s="24" t="str">
        <x:v>#1A9850</x:v>
      </x:c>
      <x:c r="D3" s="24" t="str">
        <x:v>#1A9850</x:v>
      </x:c>
      <x:c r="E3" s="24" t="n">
        <x:v>9</x:v>
      </x:c>
      <x:c r="F3" s="24" t="n">
        <x:v>0.9</x:v>
      </x:c>
      <x:c r="G3" s="24" t="n">
        <x:v>2</x:v>
      </x:c>
      <x:c r="H3" s="24" t="str">
        <x:v>Completed project</x:v>
      </x:c>
    </x:row>
    <x:row r="4">
      <x:c r="A4" s="24" t="str">
        <x:v>APR</x:v>
      </x:c>
      <x:c r="B4" s="24" t="str">
        <x:v>Approval</x:v>
      </x:c>
      <x:c r="C4" s="24" t="str">
        <x:v>#4575B4</x:v>
      </x:c>
      <x:c r="D4" s="24" t="str">
        <x:v>#4575B4</x:v>
      </x:c>
      <x:c r="E4" s="24" t="n">
        <x:v>9</x:v>
      </x:c>
      <x:c r="F4" s="24" t="n">
        <x:v>0.9</x:v>
      </x:c>
      <x:c r="G4" s="24" t="n">
        <x:v>3</x:v>
      </x:c>
      <x:c r="H4" s="24" t="str">
        <x:v>Project under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41754799a2e047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15" hidden="0" customWidth="1"/>
    <x:col min="5" max="5" width="38" hidden="0" customWidth="1"/>
    <x:col min="6" max="6" width="28" hidden="0" customWidth="1"/>
    <x:col min="7" max="7" width="46" hidden="0" customWidth="1"/>
  </x:cols>
  <x:sheetData>
    <x:row r="1">
      <x:c r="A1" s="12" t="str">
        <x:v>Field_Name</x:v>
      </x:c>
      <x:c r="B1" s="12" t="str">
        <x:v>Business_Meaning</x:v>
      </x:c>
      <x:c r="C1" s="12" t="str">
        <x:v>Data_Type</x:v>
      </x:c>
      <x:c r="D1" s="12" t="str">
        <x:v>Requirement</x:v>
      </x:c>
      <x:c r="E1" s="12" t="str">
        <x:v>Validation_or_Allowed_Values</x:v>
      </x:c>
      <x:c r="F1" s="12" t="str">
        <x:v>Example</x:v>
      </x:c>
      <x:c r="G1" s="12" t="str">
        <x:v>Implementation_Notes</x:v>
      </x:c>
    </x:row>
    <x:row r="2">
      <x:c r="A2" s="24" t="str">
        <x:v>PK_ID</x:v>
      </x:c>
      <x:c r="B2" s="24" t="str">
        <x:v>Project identifier</x:v>
      </x:c>
      <x:c r="C2" s="24" t="str">
        <x:v>Text</x:v>
      </x:c>
      <x:c r="D2" s="24" t="str">
        <x:v>Yes</x:v>
      </x:c>
      <x:c r="E2" s="24" t="str">
        <x:v>Unique; recommended format P001</x:v>
      </x:c>
      <x:c r="F2" s="24" t="str">
        <x:v>P001</x:v>
      </x:c>
      <x:c r="G2" s="24" t="str">
        <x:v>Permanent primary key used for labels and joins</x:v>
      </x:c>
    </x:row>
    <x:row r="3">
      <x:c r="A3" s="24" t="str">
        <x:v>project_name</x:v>
      </x:c>
      <x:c r="B3" s="24" t="str">
        <x:v>Project name / workbook code</x:v>
      </x:c>
      <x:c r="C3" s="24" t="str">
        <x:v>Text</x:v>
      </x:c>
      <x:c r="D3" s="24" t="str">
        <x:v>Yes</x:v>
      </x:c>
      <x:c r="E3" s="24" t="str">
        <x:v>Lowercase/underscore naming recommended</x:v>
      </x:c>
      <x:c r="F3" s="24" t="str">
        <x:v>14_bishal_paija</x:v>
      </x:c>
      <x:c r="G3" s="24" t="str">
        <x:v>Display and internal project reference</x:v>
      </x:c>
    </x:row>
    <x:row r="4">
      <x:c r="A4" s="24" t="str">
        <x:v>contractor</x:v>
      </x:c>
      <x:c r="B4" s="24" t="str">
        <x:v>Contractor or builder</x:v>
      </x:c>
      <x:c r="C4" s="24" t="str">
        <x:v>Text</x:v>
      </x:c>
      <x:c r="D4" s="24" t="str">
        <x:v>Yes</x:v>
      </x:c>
      <x:c r="E4" s="24" t="str">
        <x:v>Full legal or commonly used name</x:v>
      </x:c>
      <x:c r="F4" s="24" t="str">
        <x:v>Fishtail Builders Pvt Ltd</x:v>
      </x:c>
      <x:c r="G4" s="24" t="str">
        <x:v>Shown in marker popup</x:v>
      </x:c>
    </x:row>
    <x:row r="5">
      <x:c r="A5" s="24" t="str">
        <x:v>latitude</x:v>
      </x:c>
      <x:c r="B5" s="24" t="str">
        <x:v>Latitude in decimal degrees</x:v>
      </x:c>
      <x:c r="C5" s="24" t="str">
        <x:v>Decimal</x:v>
      </x:c>
      <x:c r="D5" s="24" t="str">
        <x:v>Yes</x:v>
      </x:c>
      <x:c r="E5" s="24" t="str">
        <x:v>-90 to 90; WGS84 / EPSG:4326</x:v>
      </x:c>
      <x:c r="F5" s="24" t="str">
        <x:v>28.200667</x:v>
      </x:c>
      <x:c r="G5" s="24" t="str">
        <x:v>North/south coordinate; Leaflet uses latitude first</x:v>
      </x:c>
    </x:row>
    <x:row r="6">
      <x:c r="A6" s="24" t="str">
        <x:v>longitude</x:v>
      </x:c>
      <x:c r="B6" s="24" t="str">
        <x:v>Longitude in decimal degrees</x:v>
      </x:c>
      <x:c r="C6" s="24" t="str">
        <x:v>Decimal</x:v>
      </x:c>
      <x:c r="D6" s="24" t="str">
        <x:v>Yes</x:v>
      </x:c>
      <x:c r="E6" s="24" t="str">
        <x:v>-180 to 180; WGS84 / EPSG:4326</x:v>
      </x:c>
      <x:c r="F6" s="24" t="str">
        <x:v>84.018222</x:v>
      </x:c>
      <x:c r="G6" s="24" t="str">
        <x:v>East/west coordinate; Leaflet uses longitude second</x:v>
      </x:c>
    </x:row>
    <x:row r="7">
      <x:c r="A7" s="24" t="str">
        <x:v>status</x:v>
      </x:c>
      <x:c r="B7" s="24" t="str">
        <x:v>Current project status</x:v>
      </x:c>
      <x:c r="C7" s="24" t="str">
        <x:v>Controlled text</x:v>
      </x:c>
      <x:c r="D7" s="24" t="str">
        <x:v>Yes</x:v>
      </x:c>
      <x:c r="E7" s="24" t="str">
        <x:v>Must match Status_Config.Status_Name</x:v>
      </x:c>
      <x:c r="F7" s="24" t="str">
        <x:v>Construction</x:v>
      </x:c>
      <x:c r="G7" s="24" t="str">
        <x:v>Controls marker colour and legend</x:v>
      </x:c>
    </x:row>
    <x:row r="8">
      <x:c r="A8" s="24" t="str">
        <x:v>valid_latitude</x:v>
      </x:c>
      <x:c r="B8" s="24" t="str">
        <x:v>Latitude validation result</x:v>
      </x:c>
      <x:c r="C8" s="24" t="str">
        <x:v>Formula</x:v>
      </x:c>
      <x:c r="D8" s="24" t="str">
        <x:v>Derived</x:v>
      </x:c>
      <x:c r="E8" s="24" t="str">
        <x:v>TRUE when numeric and between -90 and 90</x:v>
      </x:c>
      <x:c r="F8" s="24" t="str">
        <x:v>TRUE</x:v>
      </x:c>
      <x:c r="G8" s="24" t="str">
        <x:v>Quality check</x:v>
      </x:c>
    </x:row>
    <x:row r="9">
      <x:c r="A9" s="24" t="str">
        <x:v>valid_longitude</x:v>
      </x:c>
      <x:c r="B9" s="24" t="str">
        <x:v>Longitude validation result</x:v>
      </x:c>
      <x:c r="C9" s="24" t="str">
        <x:v>Formula</x:v>
      </x:c>
      <x:c r="D9" s="24" t="str">
        <x:v>Derived</x:v>
      </x:c>
      <x:c r="E9" s="24" t="str">
        <x:v>TRUE when numeric and between -180 and 180</x:v>
      </x:c>
      <x:c r="F9" s="24" t="str">
        <x:v>TRUE</x:v>
      </x:c>
      <x:c r="G9" s="24" t="str">
        <x:v>Quality check</x:v>
      </x:c>
    </x:row>
    <x:row r="10">
      <x:c r="A10" s="24" t="str">
        <x:v>valid_status</x:v>
      </x:c>
      <x:c r="B10" s="24" t="str">
        <x:v>Status validation result</x:v>
      </x:c>
      <x:c r="C10" s="24" t="str">
        <x:v>Formula</x:v>
      </x:c>
      <x:c r="D10" s="24" t="str">
        <x:v>Derived</x:v>
      </x:c>
      <x:c r="E10" s="24" t="str">
        <x:v>TRUE when status exists in Status_Config</x:v>
      </x:c>
      <x:c r="F10" s="24" t="str">
        <x:v>TRUE</x:v>
      </x:c>
      <x:c r="G10" s="24" t="str">
        <x:v>Quality check</x:v>
      </x:c>
    </x:row>
    <x:row r="11">
      <x:c r="A11" s="24" t="str">
        <x:v>coordinate_key</x:v>
      </x:c>
      <x:c r="B11" s="24" t="str">
        <x:v>Reusable coordinate string</x:v>
      </x:c>
      <x:c r="C11" s="24" t="str">
        <x:v>Formula</x:v>
      </x:c>
      <x:c r="D11" s="24" t="str">
        <x:v>Derived</x:v>
      </x:c>
      <x:c r="E11" s="24" t="str">
        <x:v>latitude,longitude</x:v>
      </x:c>
      <x:c r="F11" s="24" t="str">
        <x:v>28.2006670,84.0182220</x:v>
      </x:c>
      <x:c r="G11" s="24" t="str">
        <x:v>Useful for auditing</x:v>
      </x:c>
    </x:row>
    <x:row r="12">
      <x:c r="A12" s="24" t="str">
        <x:v>marker_color</x:v>
      </x:c>
      <x:c r="B12" s="24" t="str">
        <x:v>Marker colour from status</x:v>
      </x:c>
      <x:c r="C12" s="24" t="str">
        <x:v>Formula</x:v>
      </x:c>
      <x:c r="D12" s="24" t="str">
        <x:v>Derived</x:v>
      </x:c>
      <x:c r="E12" s="24" t="str">
        <x:v>Hex value from Status_Config</x:v>
      </x:c>
      <x:c r="F12" s="24" t="str">
        <x:v>#D73027</x:v>
      </x:c>
      <x:c r="G12" s="24" t="str">
        <x:v>Used by Leaflet circleMarker</x:v>
      </x:c>
    </x:row>
    <x:row r="13">
      <x:c r="A13" s="24" t="str">
        <x:v>tooltip_text</x:v>
      </x:c>
      <x:c r="B13" s="24" t="str">
        <x:v>Permanent label</x:v>
      </x:c>
      <x:c r="C13" s="24" t="str">
        <x:v>Formula</x:v>
      </x:c>
      <x:c r="D13" s="24" t="str">
        <x:v>Derived</x:v>
      </x:c>
      <x:c r="E13" s="24" t="str">
        <x:v>Normally PK_ID</x:v>
      </x:c>
      <x:c r="F13" s="24" t="str">
        <x:v>P001</x:v>
      </x:c>
      <x:c r="G13" s="24" t="str">
        <x:v>Shown above marker</x:v>
      </x:c>
    </x:row>
    <x:row r="14">
      <x:c r="A14" s="24" t="str">
        <x:v>popup_html</x:v>
      </x:c>
      <x:c r="B14" s="24" t="str">
        <x:v>Popup HTML</x:v>
      </x:c>
      <x:c r="C14" s="24" t="str">
        <x:v>Formula</x:v>
      </x:c>
      <x:c r="D14" s="24" t="str">
        <x:v>Derived</x:v>
      </x:c>
      <x:c r="E14" s="24" t="str">
        <x:v>HTML string assembled from source fields</x:v>
      </x:c>
      <x:c r="F14" s="24" t="str">
        <x:v>&lt;div&gt;...&lt;/div&gt;</x:v>
      </x:c>
      <x:c r="G14" s="24" t="str">
        <x:v>Shown on marker click</x:v>
      </x:c>
    </x:row>
  </x:sheetData>
  <x:pageMargins left="0.7" right="0.7" top="0.75" bottom="0.75" header="0.3" footer="0.3"/>
  <x:tableParts count="1">
    <x:tablePart xmlns:r="http://schemas.openxmlformats.org/officeDocument/2006/relationships" r:id="Rf0617e0a4f5444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6" hidden="0" customWidth="1"/>
    <x:col min="3" max="3" width="18" hidden="0" customWidth="1"/>
    <x:col min="4" max="4" width="48" hidden="0" customWidth="1"/>
  </x:cols>
  <x:sheetData>
    <x:row r="1">
      <x:c r="A1" s="12" t="str">
        <x:v>Parameter</x:v>
      </x:c>
      <x:c r="B1" s="12" t="str">
        <x:v>Value</x:v>
      </x:c>
      <x:c r="C1" s="12" t="str">
        <x:v>Data_Type</x:v>
      </x:c>
      <x:c r="D1" s="12" t="str">
        <x:v>Purpose</x:v>
      </x:c>
    </x:row>
    <x:row r="2">
      <x:c r="A2" s="24" t="str">
        <x:v>map_title</x:v>
      </x:c>
      <x:c r="B2" s="24" t="str">
        <x:v>Project Locations in Pokhara, Nepal</x:v>
      </x:c>
      <x:c r="C2" s="24" t="str">
        <x:v>Text</x:v>
      </x:c>
      <x:c r="D2" s="24" t="str">
        <x:v>Visible title</x:v>
      </x:c>
    </x:row>
    <x:row r="3">
      <x:c r="A3" s="24" t="str">
        <x:v>map_library</x:v>
      </x:c>
      <x:c r="B3" s="24" t="str">
        <x:v>Leaflet</x:v>
      </x:c>
      <x:c r="C3" s="24" t="str">
        <x:v>Text</x:v>
      </x:c>
      <x:c r="D3" s="24" t="str">
        <x:v>JavaScript map library</x:v>
      </x:c>
    </x:row>
    <x:row r="4">
      <x:c r="A4" s="24" t="str">
        <x:v>map_library_version</x:v>
      </x:c>
      <x:c r="B4" s="24" t="str">
        <x:v>1.9.4</x:v>
      </x:c>
      <x:c r="C4" s="24" t="str">
        <x:v>Text</x:v>
      </x:c>
      <x:c r="D4" s="24" t="str">
        <x:v>Pinned version</x:v>
      </x:c>
    </x:row>
    <x:row r="5">
      <x:c r="A5" s="24" t="str">
        <x:v>stylesheet_url</x:v>
      </x:c>
      <x:c r="B5" s="24" t="str">
        <x:v>https://unpkg.com/leaflet@1.9.4/dist/leaflet.css</x:v>
      </x:c>
      <x:c r="C5" s="24" t="str">
        <x:v>URL</x:v>
      </x:c>
      <x:c r="D5" s="24" t="str">
        <x:v>Leaflet CSS</x:v>
      </x:c>
    </x:row>
    <x:row r="6">
      <x:c r="A6" s="24" t="str">
        <x:v>script_url</x:v>
      </x:c>
      <x:c r="B6" s="24" t="str">
        <x:v>https://unpkg.com/leaflet@1.9.4/dist/leaflet.js</x:v>
      </x:c>
      <x:c r="C6" s="24" t="str">
        <x:v>URL</x:v>
      </x:c>
      <x:c r="D6" s="24" t="str">
        <x:v>Leaflet JavaScript</x:v>
      </x:c>
    </x:row>
    <x:row r="7">
      <x:c r="A7" s="24" t="str">
        <x:v>tile_provider</x:v>
      </x:c>
      <x:c r="B7" s="24" t="str">
        <x:v>OpenStreetMap Standard</x:v>
      </x:c>
      <x:c r="C7" s="24" t="str">
        <x:v>Text</x:v>
      </x:c>
      <x:c r="D7" s="24" t="str">
        <x:v>Basemap</x:v>
      </x:c>
    </x:row>
    <x:row r="8">
      <x:c r="A8" s="24" t="str">
        <x:v>tile_url</x:v>
      </x:c>
      <x:c r="B8" s="24" t="str">
        <x:v>https://{s}.tile.openstreetmap.org/{z}/{x}/{y}.png</x:v>
      </x:c>
      <x:c r="C8" s="24" t="str">
        <x:v>URL template</x:v>
      </x:c>
      <x:c r="D8" s="24" t="str">
        <x:v>Tile endpoint</x:v>
      </x:c>
    </x:row>
    <x:row r="9">
      <x:c r="A9" s="24" t="str">
        <x:v>tile_attribution</x:v>
      </x:c>
      <x:c r="B9" s="24" t="str">
        <x:v>© OpenStreetMap contributors</x:v>
      </x:c>
      <x:c r="C9" s="24" t="str">
        <x:v>Text</x:v>
      </x:c>
      <x:c r="D9" s="24" t="str">
        <x:v>Required attribution</x:v>
      </x:c>
    </x:row>
    <x:row r="10">
      <x:c r="A10" s="24" t="str">
        <x:v>coordinate_reference_system</x:v>
      </x:c>
      <x:c r="B10" s="24" t="str">
        <x:v>WGS84 / EPSG:4326</x:v>
      </x:c>
      <x:c r="C10" s="24" t="str">
        <x:v>Text</x:v>
      </x:c>
      <x:c r="D10" s="24" t="str">
        <x:v>Input coordinate system</x:v>
      </x:c>
    </x:row>
    <x:row r="11">
      <x:c r="A11" s="24" t="str">
        <x:v>html_marker_coordinate_order</x:v>
      </x:c>
      <x:c r="B11" s="24" t="str">
        <x:v>latitude, longitude</x:v>
      </x:c>
      <x:c r="C11" s="24" t="str">
        <x:v>Text</x:v>
      </x:c>
      <x:c r="D11" s="24" t="str">
        <x:v>Leaflet marker order</x:v>
      </x:c>
    </x:row>
    <x:row r="12">
      <x:c r="A12" s="24" t="str">
        <x:v>geojson_coordinate_order</x:v>
      </x:c>
      <x:c r="B12" s="24" t="str">
        <x:v>longitude, latitude</x:v>
      </x:c>
      <x:c r="C12" s="24" t="str">
        <x:v>Text</x:v>
      </x:c>
      <x:c r="D12" s="24" t="str">
        <x:v>GeoJSON standard order</x:v>
      </x:c>
    </x:row>
    <x:row r="13">
      <x:c r="A13" s="24" t="str">
        <x:v>initial_view_method</x:v>
      </x:c>
      <x:c r="B13" s="24" t="str">
        <x:v>fitBounds(all valid coordinates)</x:v>
      </x:c>
      <x:c r="C13" s="24" t="str">
        <x:v>Text</x:v>
      </x:c>
      <x:c r="D13" s="24" t="str">
        <x:v>Automatically frame every project</x:v>
      </x:c>
    </x:row>
    <x:row r="14">
      <x:c r="A14" s="24" t="str">
        <x:v>fallback_center_method</x:v>
      </x:c>
      <x:c r="B14" s="24" t="str">
        <x:v>mean latitude and mean longitude</x:v>
      </x:c>
      <x:c r="C14" s="24" t="str">
        <x:v>Text</x:v>
      </x:c>
      <x:c r="D14" s="24" t="str">
        <x:v>Fallback only</x:v>
      </x:c>
    </x:row>
    <x:row r="15">
      <x:c r="A15" s="24" t="str">
        <x:v>fallback_zoom</x:v>
      </x:c>
      <x:c r="B15" s="24" t="n">
        <x:v>12</x:v>
      </x:c>
      <x:c r="C15" s="24" t="str">
        <x:v>Integer</x:v>
      </x:c>
      <x:c r="D15" s="24" t="str">
        <x:v>Fallback zoom</x:v>
      </x:c>
    </x:row>
    <x:row r="16">
      <x:c r="A16" s="24" t="str">
        <x:v>maximum_zoom</x:v>
      </x:c>
      <x:c r="B16" s="24" t="n">
        <x:v>19</x:v>
      </x:c>
      <x:c r="C16" s="24" t="str">
        <x:v>Integer</x:v>
      </x:c>
      <x:c r="D16" s="24" t="str">
        <x:v>Maximum zoom</x:v>
      </x:c>
    </x:row>
    <x:row r="17">
      <x:c r="A17" s="24" t="str">
        <x:v>fit_bounds_padding_px</x:v>
      </x:c>
      <x:c r="B17" s="24" t="n">
        <x:v>45</x:v>
      </x:c>
      <x:c r="C17" s="24" t="str">
        <x:v>Integer</x:v>
      </x:c>
      <x:c r="D17" s="24" t="str">
        <x:v>Outer map padding</x:v>
      </x:c>
    </x:row>
    <x:row r="18">
      <x:c r="A18" s="24" t="str">
        <x:v>marker_type</x:v>
      </x:c>
      <x:c r="B18" s="24" t="str">
        <x:v>circleMarker</x:v>
      </x:c>
      <x:c r="C18" s="24" t="str">
        <x:v>Text</x:v>
      </x:c>
      <x:c r="D18" s="24" t="str">
        <x:v>Stable marker size</x:v>
      </x:c>
    </x:row>
    <x:row r="19">
      <x:c r="A19" s="24" t="str">
        <x:v>marker_radius_px</x:v>
      </x:c>
      <x:c r="B19" s="24" t="n">
        <x:v>9</x:v>
      </x:c>
      <x:c r="C19" s="24" t="str">
        <x:v>Integer</x:v>
      </x:c>
      <x:c r="D19" s="24" t="str">
        <x:v>Default radius</x:v>
      </x:c>
    </x:row>
    <x:row r="20">
      <x:c r="A20" s="24" t="str">
        <x:v>marker_border_weight_px</x:v>
      </x:c>
      <x:c r="B20" s="24" t="n">
        <x:v>2</x:v>
      </x:c>
      <x:c r="C20" s="24" t="str">
        <x:v>Integer</x:v>
      </x:c>
      <x:c r="D20" s="24" t="str">
        <x:v>Border thickness</x:v>
      </x:c>
    </x:row>
    <x:row r="21">
      <x:c r="A21" s="24" t="str">
        <x:v>marker_fill_opacity</x:v>
      </x:c>
      <x:c r="B21" s="24" t="n">
        <x:v>0.9</x:v>
      </x:c>
      <x:c r="C21" s="24" t="str">
        <x:v>Decimal</x:v>
      </x:c>
      <x:c r="D21" s="24" t="str">
        <x:v>Fill opacity</x:v>
      </x:c>
    </x:row>
    <x:row r="22">
      <x:c r="A22" s="24" t="str">
        <x:v>permanent_tooltip</x:v>
      </x:c>
      <x:c r="B22" s="40" t="b">
        <x:v>1</x:v>
      </x:c>
      <x:c r="C22" s="24" t="str">
        <x:v>Boolean</x:v>
      </x:c>
      <x:c r="D22" s="24" t="str">
        <x:v>Always show PK_ID</x:v>
      </x:c>
    </x:row>
    <x:row r="23">
      <x:c r="A23" s="24" t="str">
        <x:v>tooltip_direction</x:v>
      </x:c>
      <x:c r="B23" s="24" t="str">
        <x:v>top</x:v>
      </x:c>
      <x:c r="C23" s="24" t="str">
        <x:v>Text</x:v>
      </x:c>
      <x:c r="D23" s="24" t="str">
        <x:v>Tooltip placement</x:v>
      </x:c>
    </x:row>
    <x:row r="24">
      <x:c r="A24" s="24" t="str">
        <x:v>tooltip_vertical_offset_px</x:v>
      </x:c>
      <x:c r="B24" s="24" t="n">
        <x:v>-8</x:v>
      </x:c>
      <x:c r="C24" s="24" t="str">
        <x:v>Integer</x:v>
      </x:c>
      <x:c r="D24" s="24" t="str">
        <x:v>Tooltip offset</x:v>
      </x:c>
    </x:row>
    <x:row r="25">
      <x:c r="A25" s="24" t="str">
        <x:v>popup_min_width_px</x:v>
      </x:c>
      <x:c r="B25" s="24" t="n">
        <x:v>240</x:v>
      </x:c>
      <x:c r="C25" s="24" t="str">
        <x:v>Integer</x:v>
      </x:c>
      <x:c r="D25" s="24" t="str">
        <x:v>Popup width</x:v>
      </x:c>
    </x:row>
    <x:row r="26">
      <x:c r="A26" s="24" t="str">
        <x:v>show_metric_scale</x:v>
      </x:c>
      <x:c r="B26" s="40" t="b">
        <x:v>1</x:v>
      </x:c>
      <x:c r="C26" s="24" t="str">
        <x:v>Boolean</x:v>
      </x:c>
      <x:c r="D26" s="24" t="str">
        <x:v>Show metric scale</x:v>
      </x:c>
    </x:row>
    <x:row r="27">
      <x:c r="A27" s="24" t="str">
        <x:v>show_imperial_scale</x:v>
      </x:c>
      <x:c r="B27" s="40" t="b">
        <x:v>0</x:v>
      </x:c>
      <x:c r="C27" s="24" t="str">
        <x:v>Boolean</x:v>
      </x:c>
      <x:c r="D27" s="24" t="str">
        <x:v>Hide imperial scale</x:v>
      </x:c>
    </x:row>
    <x:row r="28">
      <x:c r="A28" s="24" t="str">
        <x:v>legend_position</x:v>
      </x:c>
      <x:c r="B28" s="24" t="str">
        <x:v>bottomright</x:v>
      </x:c>
      <x:c r="C28" s="24" t="str">
        <x:v>Text</x:v>
      </x:c>
      <x:c r="D28" s="24" t="str">
        <x:v>Legend location</x:v>
      </x:c>
    </x:row>
    <x:row r="29">
      <x:c r="A29" s="24" t="str">
        <x:v>title_position</x:v>
      </x:c>
      <x:c r="B29" s="24" t="str">
        <x:v>top-center overlay</x:v>
      </x:c>
      <x:c r="C29" s="24" t="str">
        <x:v>Text</x:v>
      </x:c>
      <x:c r="D29" s="24" t="str">
        <x:v>Title location</x:v>
      </x:c>
    </x:row>
    <x:row r="30">
      <x:c r="A30" s="24" t="str">
        <x:v>map_height_css</x:v>
      </x:c>
      <x:c r="B30" s="24" t="str">
        <x:v>100vh</x:v>
      </x:c>
      <x:c r="C30" s="24" t="str">
        <x:v>CSS</x:v>
      </x:c>
      <x:c r="D30" s="24" t="str">
        <x:v>Full viewport height</x:v>
      </x:c>
    </x:row>
    <x:row r="31">
      <x:c r="A31" s="24" t="str">
        <x:v>map_width_css</x:v>
      </x:c>
      <x:c r="B31" s="24" t="str">
        <x:v>100%</x:v>
      </x:c>
      <x:c r="C31" s="24" t="str">
        <x:v>CSS</x:v>
      </x:c>
      <x:c r="D31" s="24" t="str">
        <x:v>Full viewport width</x:v>
      </x:c>
    </x:row>
    <x:row r="32">
      <x:c r="A32" s="24" t="str">
        <x:v>responsive_mobile</x:v>
      </x:c>
      <x:c r="B32" s="40" t="b">
        <x:v>1</x:v>
      </x:c>
      <x:c r="C32" s="24" t="str">
        <x:v>Boolean</x:v>
      </x:c>
      <x:c r="D32" s="24" t="str">
        <x:v>Responsive layout</x:v>
      </x:c>
    </x:row>
    <x:row r="33">
      <x:c r="A33" s="24" t="str">
        <x:v>requires_internet_for_tiles</x:v>
      </x:c>
      <x:c r="B33" s="40" t="b">
        <x:v>1</x:v>
      </x:c>
      <x:c r="C33" s="24" t="str">
        <x:v>Boolean</x:v>
      </x:c>
      <x:c r="D33" s="24" t="str">
        <x:v>CDN and OSM tiles need internet</x:v>
      </x:c>
    </x:row>
  </x:sheetData>
  <x:pageMargins left="0.7" right="0.7" top="0.75" bottom="0.75" header="0.3" footer="0.3"/>
  <x:tableParts count="1">
    <x:tablePart xmlns:r="http://schemas.openxmlformats.org/officeDocument/2006/relationships" r:id="R96d494348c6c44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2" hidden="0" customWidth="1"/>
    <x:col min="5" max="5" width="24" hidden="0" customWidth="1"/>
    <x:col min="6" max="6" width="44" hidden="0" customWidth="1"/>
  </x:cols>
  <x:sheetData>
    <x:row r="1">
      <x:c r="A1" s="12" t="str">
        <x:v>Display_Order</x:v>
      </x:c>
      <x:c r="B1" s="12" t="str">
        <x:v>Source_Field</x:v>
      </x:c>
      <x:c r="C1" s="12" t="str">
        <x:v>Display_Label</x:v>
      </x:c>
      <x:c r="D1" s="12" t="str">
        <x:v>Visible</x:v>
      </x:c>
      <x:c r="E1" s="12" t="str">
        <x:v>Format</x:v>
      </x:c>
      <x:c r="F1" s="12" t="str">
        <x:v>Notes</x:v>
      </x:c>
    </x:row>
    <x:row r="2">
      <x:c r="A2" s="24" t="n">
        <x:v>1</x:v>
      </x:c>
      <x:c r="B2" s="24" t="str">
        <x:v>PK_ID</x:v>
      </x:c>
      <x:c r="C2" s="24" t="str">
        <x:v>Project ID</x:v>
      </x:c>
      <x:c r="D2" s="40" t="b">
        <x:v>1</x:v>
      </x:c>
      <x:c r="E2" s="24" t="str">
        <x:v>Heading</x:v>
      </x:c>
      <x:c r="F2" s="24" t="str">
        <x:v>Use with project_name</x:v>
      </x:c>
    </x:row>
    <x:row r="3">
      <x:c r="A3" s="24" t="n">
        <x:v>2</x:v>
      </x:c>
      <x:c r="B3" s="24" t="str">
        <x:v>project_name</x:v>
      </x:c>
      <x:c r="C3" s="24" t="str">
        <x:v>Project Name</x:v>
      </x:c>
      <x:c r="D3" s="40" t="b">
        <x:v>1</x:v>
      </x:c>
      <x:c r="E3" s="24" t="str">
        <x:v>Heading</x:v>
      </x:c>
      <x:c r="F3" s="24" t="str">
        <x:v>Display beside PK_ID</x:v>
      </x:c>
    </x:row>
    <x:row r="4">
      <x:c r="A4" s="24" t="n">
        <x:v>3</x:v>
      </x:c>
      <x:c r="B4" s="24" t="str">
        <x:v>status</x:v>
      </x:c>
      <x:c r="C4" s="24" t="str">
        <x:v>Status</x:v>
      </x:c>
      <x:c r="D4" s="40" t="b">
        <x:v>1</x:v>
      </x:c>
      <x:c r="E4" s="24" t="str">
        <x:v>Label/value</x:v>
      </x:c>
      <x:c r="F4" s="24" t="str">
        <x:v>Current status</x:v>
      </x:c>
    </x:row>
    <x:row r="5">
      <x:c r="A5" s="24" t="n">
        <x:v>4</x:v>
      </x:c>
      <x:c r="B5" s="24" t="str">
        <x:v>contractor</x:v>
      </x:c>
      <x:c r="C5" s="24" t="str">
        <x:v>Contractor</x:v>
      </x:c>
      <x:c r="D5" s="40" t="b">
        <x:v>1</x:v>
      </x:c>
      <x:c r="E5" s="24" t="str">
        <x:v>Label/value</x:v>
      </x:c>
      <x:c r="F5" s="24" t="str">
        <x:v>Contractor name</x:v>
      </x:c>
    </x:row>
    <x:row r="6">
      <x:c r="A6" s="24" t="n">
        <x:v>5</x:v>
      </x:c>
      <x:c r="B6" s="24" t="str">
        <x:v>latitude</x:v>
      </x:c>
      <x:c r="C6" s="24" t="str">
        <x:v>Latitude</x:v>
      </x:c>
      <x:c r="D6" s="40" t="b">
        <x:v>1</x:v>
      </x:c>
      <x:c r="E6" s="24" t="str">
        <x:v>7 decimal places</x:v>
      </x:c>
      <x:c r="F6" s="24" t="str">
        <x:v>Show exact source value</x:v>
      </x:c>
    </x:row>
    <x:row r="7">
      <x:c r="A7" s="24" t="n">
        <x:v>6</x:v>
      </x:c>
      <x:c r="B7" s="24" t="str">
        <x:v>longitude</x:v>
      </x:c>
      <x:c r="C7" s="24" t="str">
        <x:v>Longitude</x:v>
      </x:c>
      <x:c r="D7" s="40" t="b">
        <x:v>1</x:v>
      </x:c>
      <x:c r="E7" s="24" t="str">
        <x:v>7 decimal places</x:v>
      </x:c>
      <x:c r="F7" s="24" t="str">
        <x:v>Show exact source value</x:v>
      </x:c>
    </x:row>
  </x:sheetData>
  <x:pageMargins left="0.7" right="0.7" top="0.75" bottom="0.75" header="0.3" footer="0.3"/>
  <x:tableParts count="1">
    <x:tablePart xmlns:r="http://schemas.openxmlformats.org/officeDocument/2006/relationships" r:id="R41883bc9e43042c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5" hidden="0" customWidth="1"/>
    <x:col min="4" max="4" width="70" hidden="0" customWidth="1"/>
  </x:cols>
  <x:sheetData>
    <x:row r="1">
      <x:c r="A1" s="12" t="str">
        <x:v>Output</x:v>
      </x:c>
      <x:c r="B1" s="12" t="str">
        <x:v>File_Extension</x:v>
      </x:c>
      <x:c r="C1" s="12" t="str">
        <x:v>Priority</x:v>
      </x:c>
      <x:c r="D1" s="12" t="str">
        <x:v>Specification</x:v>
      </x:c>
    </x:row>
    <x:row r="2">
      <x:c r="A2" s="24" t="str">
        <x:v>Interactive HTML</x:v>
      </x:c>
      <x:c r="B2" s="24" t="str">
        <x:v>.html</x:v>
      </x:c>
      <x:c r="C2" s="24" t="str">
        <x:v>Required</x:v>
      </x:c>
      <x:c r="D2" s="24" t="str">
        <x:v>Browser map with exact coordinate plot; internet needed for live tiles</x:v>
      </x:c>
    </x:row>
    <x:row r="3">
      <x:c r="A3" s="24" t="str">
        <x:v>Excel source package</x:v>
      </x:c>
      <x:c r="B3" s="24" t="str">
        <x:v>.xlsx</x:v>
      </x:c>
      <x:c r="C3" s="24" t="str">
        <x:v>Required</x:v>
      </x:c>
      <x:c r="D3" s="24" t="str">
        <x:v>Primary editable source with definitions, validation, configuration, and instructions</x:v>
      </x:c>
    </x:row>
    <x:row r="4">
      <x:c r="A4" s="24" t="str">
        <x:v>Flat AI package</x:v>
      </x:c>
      <x:c r="B4" s="24" t="str">
        <x:v>.csv</x:v>
      </x:c>
      <x:c r="C4" s="24" t="str">
        <x:v>Required</x:v>
      </x:c>
      <x:c r="D4" s="24" t="str">
        <x:v>Single long-form file for AI tools that cannot read workbook sheets</x:v>
      </x:c>
    </x:row>
    <x:row r="5">
      <x:c r="A5" s="24" t="str">
        <x:v>GeoJSON</x:v>
      </x:c>
      <x:c r="B5" s="24" t="str">
        <x:v>.geojson</x:v>
      </x:c>
      <x:c r="C5" s="24" t="str">
        <x:v>Recommended</x:v>
      </x:c>
      <x:c r="D5" s="24" t="str">
        <x:v>GIS point layer; geometry order longitude, latitude</x:v>
      </x:c>
    </x:row>
    <x:row r="6">
      <x:c r="A6" s="24" t="str">
        <x:v>Static image</x:v>
      </x:c>
      <x:c r="B6" s="24" t="str">
        <x:v>.png</x:v>
      </x:c>
      <x:c r="C6" s="24" t="str">
        <x:v>Optional</x:v>
      </x:c>
      <x:c r="D6" s="24" t="str">
        <x:v>Screenshot after HTML map renders</x:v>
      </x:c>
    </x:row>
    <x:row r="7">
      <x:c r="A7" s="24" t="str">
        <x:v>Print document</x:v>
      </x:c>
      <x:c r="B7" s="24" t="str">
        <x:v>.pdf</x:v>
      </x:c>
      <x:c r="C7" s="24" t="str">
        <x:v>Optional</x:v>
      </x:c>
      <x:c r="D7" s="24" t="str">
        <x:v>Landscape export containing map, title, and legend</x:v>
      </x:c>
    </x:row>
  </x:sheetData>
  <x:pageMargins left="0.7" right="0.7" top="0.75" bottom="0.75" header="0.3" footer="0.3"/>
  <x:tableParts count="1">
    <x:tablePart xmlns:r="http://schemas.openxmlformats.org/officeDocument/2006/relationships" r:id="R8094ffbdad224cc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36" hidden="0" customWidth="1"/>
    <x:col min="4" max="4" width="14" hidden="0" customWidth="1"/>
    <x:col min="5" max="5" width="54" hidden="0" customWidth="1"/>
  </x:cols>
  <x:sheetData>
    <x:row r="1">
      <x:c r="A1" s="12" t="str">
        <x:v>Check_ID</x:v>
      </x:c>
      <x:c r="B1" s="12" t="str">
        <x:v>Check</x:v>
      </x:c>
      <x:c r="C1" s="12" t="str">
        <x:v>Target</x:v>
      </x:c>
      <x:c r="D1" s="12" t="str">
        <x:v>Priority</x:v>
      </x:c>
      <x:c r="E1" s="12" t="str">
        <x:v>Pass_Criterion</x:v>
      </x:c>
    </x:row>
    <x:row r="2">
      <x:c r="A2" s="24" t="str">
        <x:v>QA001</x:v>
      </x:c>
      <x:c r="B2" s="24" t="str">
        <x:v>PK_ID not blank</x:v>
      </x:c>
      <x:c r="C2" s="24" t="str">
        <x:v>Projects_Master.PK_ID</x:v>
      </x:c>
      <x:c r="D2" s="24" t="str">
        <x:v>Required</x:v>
      </x:c>
      <x:c r="E2" s="24" t="str">
        <x:v>Fail if blank</x:v>
      </x:c>
    </x:row>
    <x:row r="3">
      <x:c r="A3" s="24" t="str">
        <x:v>QA002</x:v>
      </x:c>
      <x:c r="B3" s="24" t="str">
        <x:v>PK_ID unique</x:v>
      </x:c>
      <x:c r="C3" s="24" t="str">
        <x:v>Projects_Master.PK_ID</x:v>
      </x:c>
      <x:c r="D3" s="24" t="str">
        <x:v>Required</x:v>
      </x:c>
      <x:c r="E3" s="24" t="str">
        <x:v>Fail if duplicate</x:v>
      </x:c>
    </x:row>
    <x:row r="4">
      <x:c r="A4" s="24" t="str">
        <x:v>QA003</x:v>
      </x:c>
      <x:c r="B4" s="24" t="str">
        <x:v>Latitude numeric</x:v>
      </x:c>
      <x:c r="C4" s="24" t="str">
        <x:v>Projects_Master.latitude</x:v>
      </x:c>
      <x:c r="D4" s="24" t="str">
        <x:v>Required</x:v>
      </x:c>
      <x:c r="E4" s="24" t="str">
        <x:v>Fail if non-numeric</x:v>
      </x:c>
    </x:row>
    <x:row r="5">
      <x:c r="A5" s="24" t="str">
        <x:v>QA004</x:v>
      </x:c>
      <x:c r="B5" s="24" t="str">
        <x:v>Latitude between -90 and 90</x:v>
      </x:c>
      <x:c r="C5" s="24" t="str">
        <x:v>Projects_Master.latitude</x:v>
      </x:c>
      <x:c r="D5" s="24" t="str">
        <x:v>Required</x:v>
      </x:c>
      <x:c r="E5" s="24" t="str">
        <x:v>Fail outside range</x:v>
      </x:c>
    </x:row>
    <x:row r="6">
      <x:c r="A6" s="24" t="str">
        <x:v>QA005</x:v>
      </x:c>
      <x:c r="B6" s="24" t="str">
        <x:v>Longitude numeric</x:v>
      </x:c>
      <x:c r="C6" s="24" t="str">
        <x:v>Projects_Master.longitude</x:v>
      </x:c>
      <x:c r="D6" s="24" t="str">
        <x:v>Required</x:v>
      </x:c>
      <x:c r="E6" s="24" t="str">
        <x:v>Fail if non-numeric</x:v>
      </x:c>
    </x:row>
    <x:row r="7">
      <x:c r="A7" s="24" t="str">
        <x:v>QA006</x:v>
      </x:c>
      <x:c r="B7" s="24" t="str">
        <x:v>Longitude between -180 and 180</x:v>
      </x:c>
      <x:c r="C7" s="24" t="str">
        <x:v>Projects_Master.longitude</x:v>
      </x:c>
      <x:c r="D7" s="24" t="str">
        <x:v>Required</x:v>
      </x:c>
      <x:c r="E7" s="24" t="str">
        <x:v>Fail outside range</x:v>
      </x:c>
    </x:row>
    <x:row r="8">
      <x:c r="A8" s="24" t="str">
        <x:v>QA007</x:v>
      </x:c>
      <x:c r="B8" s="24" t="str">
        <x:v>Status exists in Status_Config</x:v>
      </x:c>
      <x:c r="C8" s="24" t="str">
        <x:v>Projects_Master.status</x:v>
      </x:c>
      <x:c r="D8" s="24" t="str">
        <x:v>Required</x:v>
      </x:c>
      <x:c r="E8" s="24" t="str">
        <x:v>Fail if no match</x:v>
      </x:c>
    </x:row>
    <x:row r="9">
      <x:c r="A9" s="24" t="str">
        <x:v>QA008</x:v>
      </x:c>
      <x:c r="B9" s="24" t="str">
        <x:v>Leaflet uses latitude,longitude</x:v>
      </x:c>
      <x:c r="C9" s="24" t="str">
        <x:v>HTML JavaScript</x:v>
      </x:c>
      <x:c r="D9" s="24" t="str">
        <x:v>Required</x:v>
      </x:c>
      <x:c r="E9" s="24" t="str">
        <x:v>Do not swap</x:v>
      </x:c>
    </x:row>
    <x:row r="10">
      <x:c r="A10" s="24" t="str">
        <x:v>QA009</x:v>
      </x:c>
      <x:c r="B10" s="24" t="str">
        <x:v>GeoJSON uses longitude,latitude</x:v>
      </x:c>
      <x:c r="C10" s="24" t="str">
        <x:v>GeoJSON coordinates</x:v>
      </x:c>
      <x:c r="D10" s="24" t="str">
        <x:v>Required</x:v>
      </x:c>
      <x:c r="E10" s="24" t="str">
        <x:v>Do not swap</x:v>
      </x:c>
    </x:row>
    <x:row r="11">
      <x:c r="A11" s="24" t="str">
        <x:v>QA010</x:v>
      </x:c>
      <x:c r="B11" s="24" t="str">
        <x:v>fitBounds after markers</x:v>
      </x:c>
      <x:c r="C11" s="24" t="str">
        <x:v>HTML JavaScript</x:v>
      </x:c>
      <x:c r="D11" s="24" t="str">
        <x:v>Required</x:v>
      </x:c>
      <x:c r="E11" s="24" t="str">
        <x:v>All valid sites visible</x:v>
      </x:c>
    </x:row>
    <x:row r="12">
      <x:c r="A12" s="24" t="str">
        <x:v>QA011</x:v>
      </x:c>
      <x:c r="B12" s="24" t="str">
        <x:v>Preserve coordinate precision</x:v>
      </x:c>
      <x:c r="C12" s="24" t="str">
        <x:v>All outputs</x:v>
      </x:c>
      <x:c r="D12" s="24" t="str">
        <x:v>Required</x:v>
      </x:c>
      <x:c r="E12" s="24" t="str">
        <x:v>Do not round before plotting</x:v>
      </x:c>
    </x:row>
    <x:row r="13">
      <x:c r="A13" s="24" t="str">
        <x:v>QA012</x:v>
      </x:c>
      <x:c r="B13" s="24" t="str">
        <x:v>Exact coordinates in popup</x:v>
      </x:c>
      <x:c r="C13" s="24" t="str">
        <x:v>HTML popup</x:v>
      </x:c>
      <x:c r="D13" s="24" t="str">
        <x:v>Recommended</x:v>
      </x:c>
      <x:c r="E13" s="24" t="str">
        <x:v>Allows manual audit</x:v>
      </x:c>
    </x:row>
    <x:row r="14">
      <x:c r="A14" s="24" t="str">
        <x:v>QA013</x:v>
      </x:c>
      <x:c r="B14" s="24" t="str">
        <x:v>OpenStreetMap attribution present</x:v>
      </x:c>
      <x:c r="C14" s="24" t="str">
        <x:v>HTML map</x:v>
      </x:c>
      <x:c r="D14" s="24" t="str">
        <x:v>Required</x:v>
      </x:c>
      <x:c r="E14" s="24" t="str">
        <x:v>Licensing</x:v>
      </x:c>
    </x:row>
    <x:row r="15">
      <x:c r="A15" s="24" t="str">
        <x:v>QA014</x:v>
      </x:c>
      <x:c r="B15" s="24" t="str">
        <x:v>Ignore blank template rows</x:v>
      </x:c>
      <x:c r="C15" s="24" t="str">
        <x:v>Marker generation</x:v>
      </x:c>
      <x:c r="D15" s="24" t="str">
        <x:v>Required</x:v>
      </x:c>
      <x:c r="E15" s="24" t="str">
        <x:v>No empty markers</x:v>
      </x:c>
    </x:row>
  </x:sheetData>
  <x:pageMargins left="0.7" right="0.7" top="0.75" bottom="0.75" header="0.3" footer="0.3"/>
  <x:tableParts count="1">
    <x:tablePart xmlns:r="http://schemas.openxmlformats.org/officeDocument/2006/relationships" r:id="R5b37e422a31f43c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70" hidden="0" customWidth="1"/>
  </x:cols>
  <x:sheetData>
    <x:row r="1">
      <x:c r="A1" s="12" t="str">
        <x:v>Step</x:v>
      </x:c>
      <x:c r="B1" s="12" t="str">
        <x:v>Instruction</x:v>
      </x:c>
      <x:c r="C1" s="12" t="str">
        <x:v>Expected_Result</x:v>
      </x:c>
    </x:row>
    <x:row r="2">
      <x:c r="A2" s="24" t="n">
        <x:v>1</x:v>
      </x:c>
      <x:c r="B2" s="24" t="str">
        <x:v>Read README first.</x:v>
      </x:c>
      <x:c r="C2" s="24" t="str">
        <x:v>Understand source-of-truth and coordinate-order rules.</x:v>
      </x:c>
    </x:row>
    <x:row r="3">
      <x:c r="A3" s="24" t="n">
        <x:v>2</x:v>
      </x:c>
      <x:c r="B3" s="24" t="str">
        <x:v>Use Projects_Master only for project data.</x:v>
      </x:c>
      <x:c r="C3" s="24" t="str">
        <x:v>Do not invent or geocode locations.</x:v>
      </x:c>
    </x:row>
    <x:row r="4">
      <x:c r="A4" s="24" t="n">
        <x:v>3</x:v>
      </x:c>
      <x:c r="B4" s="24" t="str">
        <x:v>Validate every populated row.</x:v>
      </x:c>
      <x:c r="C4" s="24" t="str">
        <x:v>Reject and report invalid rows.</x:v>
      </x:c>
    </x:row>
    <x:row r="5">
      <x:c r="A5" s="24" t="n">
        <x:v>4</x:v>
      </x:c>
      <x:c r="B5" s="24" t="str">
        <x:v>Join status to Status_Config.</x:v>
      </x:c>
      <x:c r="C5" s="24" t="str">
        <x:v>Apply configured marker style.</x:v>
      </x:c>
    </x:row>
    <x:row r="6">
      <x:c r="A6" s="24" t="n">
        <x:v>5</x:v>
      </x:c>
      <x:c r="B6" s="24" t="str">
        <x:v>Create Leaflet 1.9.4 map from Map_Config.</x:v>
      </x:c>
      <x:c r="C6" s="24" t="str">
        <x:v>Use specified OSM tiles and attribution.</x:v>
      </x:c>
    </x:row>
    <x:row r="7">
      <x:c r="A7" s="24" t="n">
        <x:v>6</x:v>
      </x:c>
      <x:c r="B7" s="24" t="str">
        <x:v>Add one L.circleMarker per valid row using [latitude, longitude].</x:v>
      </x:c>
      <x:c r="C7" s="24" t="str">
        <x:v>Do not reverse Leaflet order.</x:v>
      </x:c>
    </x:row>
    <x:row r="8">
      <x:c r="A8" s="24" t="n">
        <x:v>7</x:v>
      </x:c>
      <x:c r="B8" s="24" t="str">
        <x:v>Bind permanent PK_ID tooltip.</x:v>
      </x:c>
      <x:c r="C8" s="24" t="str">
        <x:v>Place above marker.</x:v>
      </x:c>
    </x:row>
    <x:row r="9">
      <x:c r="A9" s="24" t="n">
        <x:v>8</x:v>
      </x:c>
      <x:c r="B9" s="24" t="str">
        <x:v>Build popup in Popup_Fields order.</x:v>
      </x:c>
      <x:c r="C9" s="24" t="str">
        <x:v>Include exact coordinates.</x:v>
      </x:c>
    </x:row>
    <x:row r="10">
      <x:c r="A10" s="24" t="n">
        <x:v>9</x:v>
      </x:c>
      <x:c r="B10" s="24" t="str">
        <x:v>Collect coordinates and call fitBounds.</x:v>
      </x:c>
      <x:c r="C10" s="24" t="str">
        <x:v>Use configured padding.</x:v>
      </x:c>
    </x:row>
    <x:row r="11">
      <x:c r="A11" s="24" t="n">
        <x:v>10</x:v>
      </x:c>
      <x:c r="B11" s="24" t="str">
        <x:v>Add title, legend, project count, and metric scale.</x:v>
      </x:c>
      <x:c r="C11" s="24" t="str">
        <x:v>Use workbook configuration.</x:v>
      </x:c>
    </x:row>
    <x:row r="12">
      <x:c r="A12" s="24" t="n">
        <x:v>11</x:v>
      </x:c>
      <x:c r="B12" s="24" t="str">
        <x:v>Export HTML and GeoJSON.</x:v>
      </x:c>
      <x:c r="C12" s="24" t="str">
        <x:v>GeoJSON uses [longitude, latitude].</x:v>
      </x:c>
    </x:row>
    <x:row r="13">
      <x:c r="A13" s="24" t="n">
        <x:v>12</x:v>
      </x:c>
      <x:c r="B13" s="24" t="str">
        <x:v>Run QA_Checks.</x:v>
      </x:c>
      <x:c r="C13" s="24" t="str">
        <x:v>Report accepted/rejected counts.</x:v>
      </x:c>
    </x:row>
  </x:sheetData>
  <x:pageMargins left="0.7" right="0.7" top="0.75" bottom="0.75" header="0.3" footer="0.3"/>
  <x:tableParts count="1">
    <x:tablePart xmlns:r="http://schemas.openxmlformats.org/officeDocument/2006/relationships" r:id="R02d350204b7147c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Copy-Paste Prompt for Another AI Model</x:v>
      </x:c>
      <x:c r="B1" s="4"/>
      <x:c r="C1" s="4"/>
      <x:c r="D1" s="4"/>
      <x:c r="E1" s="4"/>
      <x:c r="F1" s="4"/>
    </x:row>
    <x:row r="3" ht="24" customHeight="1">
      <x:c r="A3" s="45" t="str">
        <x:v>Create an exact interactive project-location map from the attached workbook.
SOURCE OF TRUTH
- Read `Projects_Master` for project records.
- Read `Field_Dictionary` for meanings and validation.
- Read `Status_Config` for marker styling.
- Read `Map_Config` for the exact mapping stack and interface settings.
- Read `Popup_Fields` for popup order.
- Read `Output_Spec` for deliverables.
- Read `QA_Checks` and run all required checks.
- Follow `AI_Build_Steps` in sequence.
NON-NEGOTIABLE GEOSPATIAL RULES
1. Never geocode, estimate, relocate, or visually approximate a point.
2. Preserve the complete source precision of latitude and longitude.
3. Leaflet markers use [latitude, longitude].
4. GeoJSON coordinates use [longitude, latitude].
5. Add all valid markers, collect bounds, and call fitBounds using the configured padding.
6. Ignore blank template rows and report invalid populated rows.
7. Marker style comes only from `Status_Config`.
EXPECTED HTML
- Leaflet 1.9.4 with OpenStreetMap Standard tiles and attribution.
- Exact circle markers.
- Permanent PK_ID labels above markers.
- Popup with Project ID, Project Name, Status, Contractor, Latitude, and Longitude.
- Status legend, total project count, metric scale, responsive title, and full-screen mobile-compatible layout.
- No AI-generated illustrated map background.
Deliver the interactive HTML and GeoJSON, and state accepted and rejected record counts.
</x:v>
      </x:c>
      <x:c r="B3" s="45"/>
      <x:c r="C3" s="45"/>
      <x:c r="D3" s="45"/>
      <x:c r="E3" s="45"/>
      <x:c r="F3" s="45"/>
    </x:row>
    <x:row r="4" ht="24" customHeight="1">
      <x:c r="A4" s="45"/>
      <x:c r="B4" s="45"/>
      <x:c r="C4" s="45"/>
      <x:c r="D4" s="45"/>
      <x:c r="E4" s="45"/>
      <x:c r="F4" s="45"/>
    </x:row>
    <x:row r="5" ht="24" customHeight="1">
      <x:c r="A5" s="45"/>
      <x:c r="B5" s="45"/>
      <x:c r="C5" s="45"/>
      <x:c r="D5" s="45"/>
      <x:c r="E5" s="45"/>
      <x:c r="F5" s="45"/>
    </x:row>
    <x:row r="6" ht="24" customHeight="1">
      <x:c r="A6" s="45"/>
      <x:c r="B6" s="45"/>
      <x:c r="C6" s="45"/>
      <x:c r="D6" s="45"/>
      <x:c r="E6" s="45"/>
      <x:c r="F6" s="45"/>
    </x:row>
    <x:row r="7" ht="24" customHeight="1">
      <x:c r="A7" s="45"/>
      <x:c r="B7" s="45"/>
      <x:c r="C7" s="45"/>
      <x:c r="D7" s="45"/>
      <x:c r="E7" s="45"/>
      <x:c r="F7" s="45"/>
    </x:row>
    <x:row r="8" ht="24" customHeight="1">
      <x:c r="A8" s="45"/>
      <x:c r="B8" s="45"/>
      <x:c r="C8" s="45"/>
      <x:c r="D8" s="45"/>
      <x:c r="E8" s="45"/>
      <x:c r="F8" s="45"/>
    </x:row>
    <x:row r="9" ht="24" customHeight="1">
      <x:c r="A9" s="45"/>
      <x:c r="B9" s="45"/>
      <x:c r="C9" s="45"/>
      <x:c r="D9" s="45"/>
      <x:c r="E9" s="45"/>
      <x:c r="F9" s="45"/>
    </x:row>
    <x:row r="10" ht="24" customHeight="1">
      <x:c r="A10" s="45"/>
      <x:c r="B10" s="45"/>
      <x:c r="C10" s="45"/>
      <x:c r="D10" s="45"/>
      <x:c r="E10" s="45"/>
      <x:c r="F10" s="45"/>
    </x:row>
    <x:row r="11" ht="24" customHeight="1">
      <x:c r="A11" s="45"/>
      <x:c r="B11" s="45"/>
      <x:c r="C11" s="45"/>
      <x:c r="D11" s="45"/>
      <x:c r="E11" s="45"/>
      <x:c r="F11" s="45"/>
    </x:row>
    <x:row r="12" ht="24" customHeight="1">
      <x:c r="A12" s="45"/>
      <x:c r="B12" s="45"/>
      <x:c r="C12" s="45"/>
      <x:c r="D12" s="45"/>
      <x:c r="E12" s="45"/>
      <x:c r="F12" s="45"/>
    </x:row>
    <x:row r="13" ht="24" customHeight="1">
      <x:c r="A13" s="45"/>
      <x:c r="B13" s="45"/>
      <x:c r="C13" s="45"/>
      <x:c r="D13" s="45"/>
      <x:c r="E13" s="45"/>
      <x:c r="F13" s="45"/>
    </x:row>
    <x:row r="14" ht="24" customHeight="1">
      <x:c r="A14" s="45"/>
      <x:c r="B14" s="45"/>
      <x:c r="C14" s="45"/>
      <x:c r="D14" s="45"/>
      <x:c r="E14" s="45"/>
      <x:c r="F14" s="45"/>
    </x:row>
    <x:row r="15" ht="24" customHeight="1">
      <x:c r="A15" s="45"/>
      <x:c r="B15" s="45"/>
      <x:c r="C15" s="45"/>
      <x:c r="D15" s="45"/>
      <x:c r="E15" s="45"/>
      <x:c r="F15" s="45"/>
    </x:row>
    <x:row r="16" ht="24" customHeight="1">
      <x:c r="A16" s="45"/>
      <x:c r="B16" s="45"/>
      <x:c r="C16" s="45"/>
      <x:c r="D16" s="45"/>
      <x:c r="E16" s="45"/>
      <x:c r="F16" s="45"/>
    </x:row>
    <x:row r="17" ht="24" customHeight="1">
      <x:c r="A17" s="45"/>
      <x:c r="B17" s="45"/>
      <x:c r="C17" s="45"/>
      <x:c r="D17" s="45"/>
      <x:c r="E17" s="45"/>
      <x:c r="F17" s="45"/>
    </x:row>
    <x:row r="18" ht="24" customHeight="1">
      <x:c r="A18" s="45"/>
      <x:c r="B18" s="45"/>
      <x:c r="C18" s="45"/>
      <x:c r="D18" s="45"/>
      <x:c r="E18" s="45"/>
      <x:c r="F18" s="45"/>
    </x:row>
    <x:row r="19" ht="24" customHeight="1">
      <x:c r="A19" s="45"/>
      <x:c r="B19" s="45"/>
      <x:c r="C19" s="45"/>
      <x:c r="D19" s="45"/>
      <x:c r="E19" s="45"/>
      <x:c r="F19" s="45"/>
    </x:row>
    <x:row r="20" ht="24" customHeight="1">
      <x:c r="A20" s="45"/>
      <x:c r="B20" s="45"/>
      <x:c r="C20" s="45"/>
      <x:c r="D20" s="45"/>
      <x:c r="E20" s="45"/>
      <x:c r="F20" s="45"/>
    </x:row>
    <x:row r="21" ht="24" customHeight="1">
      <x:c r="A21" s="45"/>
      <x:c r="B21" s="45"/>
      <x:c r="C21" s="45"/>
      <x:c r="D21" s="45"/>
      <x:c r="E21" s="45"/>
      <x:c r="F21" s="45"/>
    </x:row>
    <x:row r="22" ht="24" customHeight="1">
      <x:c r="A22" s="45"/>
      <x:c r="B22" s="45"/>
      <x:c r="C22" s="45"/>
      <x:c r="D22" s="45"/>
      <x:c r="E22" s="45"/>
      <x:c r="F22" s="45"/>
    </x:row>
    <x:row r="23" ht="24" customHeight="1">
      <x:c r="A23" s="45"/>
      <x:c r="B23" s="45"/>
      <x:c r="C23" s="45"/>
      <x:c r="D23" s="45"/>
      <x:c r="E23" s="45"/>
      <x:c r="F23" s="45"/>
    </x:row>
    <x:row r="24" ht="24" customHeight="1">
      <x:c r="A24" s="45"/>
      <x:c r="B24" s="45"/>
      <x:c r="C24" s="45"/>
      <x:c r="D24" s="45"/>
      <x:c r="E24" s="45"/>
      <x:c r="F24" s="45"/>
    </x:row>
    <x:row r="25" ht="24" customHeight="1">
      <x:c r="A25" s="45"/>
      <x:c r="B25" s="45"/>
      <x:c r="C25" s="45"/>
      <x:c r="D25" s="45"/>
      <x:c r="E25" s="45"/>
      <x:c r="F25" s="45"/>
    </x:row>
    <x:row r="26" ht="24" customHeight="1">
      <x:c r="A26" s="45"/>
      <x:c r="B26" s="45"/>
      <x:c r="C26" s="45"/>
      <x:c r="D26" s="45"/>
      <x:c r="E26" s="45"/>
      <x:c r="F26" s="45"/>
    </x:row>
    <x:row r="27" ht="24" customHeight="1">
      <x:c r="A27" s="45"/>
      <x:c r="B27" s="45"/>
      <x:c r="C27" s="45"/>
      <x:c r="D27" s="45"/>
      <x:c r="E27" s="45"/>
      <x:c r="F27" s="45"/>
    </x:row>
    <x:row r="28" ht="24" customHeight="1">
      <x:c r="A28" s="45"/>
      <x:c r="B28" s="45"/>
      <x:c r="C28" s="45"/>
      <x:c r="D28" s="45"/>
      <x:c r="E28" s="45"/>
      <x:c r="F28" s="45"/>
    </x:row>
  </x:sheetData>
  <x:mergeCells>
    <x:mergeCell ref="A1:F1"/>
    <x:mergeCell ref="A3:F2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</x:cols>
  <x:sheetData>
    <x:row r="1">
      <x:c r="A1" s="4" t="str">
        <x:v>Pokhara Project Mapping Dashboard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KPI</x:v>
      </x:c>
      <x:c r="B3" s="12" t="str">
        <x:v>Value</x:v>
      </x:c>
    </x:row>
    <x:row r="4">
      <x:c r="A4" s="20" t="str">
        <x:v>Total populated projects</x:v>
      </x:c>
      <x:c r="B4" t="n">
        <x:f>COUNTIF(Projects_Master!A2:A101,"&lt;&gt;")</x:f>
        <x:v>7</x:v>
      </x:c>
    </x:row>
    <x:row r="5">
      <x:c r="A5" s="20" t="str">
        <x:v>Construction</x:v>
      </x:c>
      <x:c r="B5" t="n">
        <x:f>COUNTIF(Projects_Master!F2:F101,"Construction")</x:f>
        <x:v>5</x:v>
      </x:c>
    </x:row>
    <x:row r="6">
      <x:c r="A6" s="20" t="str">
        <x:v>Completed</x:v>
      </x:c>
      <x:c r="B6" t="n">
        <x:f>COUNTIF(Projects_Master!F2:F101,"Completed")</x:f>
        <x:v>1</x:v>
      </x:c>
    </x:row>
    <x:row r="7">
      <x:c r="A7" s="20" t="str">
        <x:v>Approval</x:v>
      </x:c>
      <x:c r="B7" t="n">
        <x:f>COUNTIF(Projects_Master!F2:F101,"Approval")</x:f>
        <x:v>1</x:v>
      </x:c>
    </x:row>
    <x:row r="10">
      <x:c r="A10" s="29" t="str">
        <x:v>Reusable template: add projects only in Projects_Master, choose status from the dropdown, and keep coordinates in WGS84 decimal degrees. All map-generation parameters are already defined in this workbook.</x:v>
      </x:c>
      <x:c r="B10" s="29"/>
      <x:c r="C10" s="29"/>
      <x:c r="D10" s="29"/>
      <x:c r="E10" s="29"/>
      <x:c r="F10" s="29"/>
      <x:c r="G10" s="29"/>
      <x:c r="H10" s="29"/>
    </x:row>
    <x:row r="11">
      <x:c r="A11" s="29"/>
      <x:c r="B11" s="29"/>
      <x:c r="C11" s="29"/>
      <x:c r="D11" s="29"/>
      <x:c r="E11" s="29"/>
      <x:c r="F11" s="29"/>
      <x:c r="G11" s="29"/>
      <x:c r="H11" s="29"/>
    </x:row>
    <x:row r="12">
      <x:c r="A12" s="29"/>
      <x:c r="B12" s="29"/>
      <x:c r="C12" s="29"/>
      <x:c r="D12" s="29"/>
      <x:c r="E12" s="29"/>
      <x:c r="F12" s="29"/>
      <x:c r="G12" s="29"/>
      <x:c r="H12" s="29"/>
    </x:row>
    <x:row r="13">
      <x:c r="A13" s="29"/>
      <x:c r="B13" s="29"/>
      <x:c r="C13" s="29"/>
      <x:c r="D13" s="29"/>
      <x:c r="E13" s="29"/>
      <x:c r="F13" s="29"/>
      <x:c r="G13" s="29"/>
      <x:c r="H13" s="29"/>
    </x:row>
  </x:sheetData>
  <x:mergeCells>
    <x:mergeCell ref="A1:H1"/>
    <x:mergeCell ref="A10:H13"/>
  </x:mergeCells>
  <x:pageMargins left="0.7" right="0.7" top="0.75" bottom="0.75" header="0.3" footer="0.3"/>
  <x:drawing xmlns:r="http://schemas.openxmlformats.org/officeDocument/2006/relationships" r:id="R7ecd093d958f451c"/>
</x:worksheet>
</file>